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st_script\"/>
    </mc:Choice>
  </mc:AlternateContent>
  <xr:revisionPtr revIDLastSave="0" documentId="13_ncr:1_{B159FFD7-16AB-4071-8755-B19FBC784C19}" xr6:coauthVersionLast="46" xr6:coauthVersionMax="46" xr10:uidLastSave="{00000000-0000-0000-0000-000000000000}"/>
  <bookViews>
    <workbookView xWindow="28680" yWindow="-120" windowWidth="29040" windowHeight="15840" tabRatio="626" xr2:uid="{DCBFB499-ED80-4860-8390-E45CCA7E5B34}"/>
  </bookViews>
  <sheets>
    <sheet name="Summary" sheetId="2" r:id="rId1"/>
    <sheet name="HM-VTM-RA" sheetId="1" r:id="rId2"/>
    <sheet name="HM-VVenC_Slow-RA" sheetId="3" r:id="rId3"/>
    <sheet name="HM-VVenC_Medium-RA" sheetId="4" r:id="rId4"/>
    <sheet name="HM-VVenC_Fast-RA" sheetId="5" r:id="rId5"/>
    <sheet name="HM-VVenC_Faster-RA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F75" i="1"/>
  <c r="F76" i="1"/>
  <c r="F77" i="1"/>
  <c r="F78" i="1"/>
  <c r="G75" i="1"/>
  <c r="G76" i="1"/>
  <c r="G77" i="1"/>
  <c r="G78" i="1"/>
  <c r="J75" i="1"/>
  <c r="K75" i="1"/>
  <c r="J76" i="1"/>
  <c r="K76" i="1"/>
  <c r="J77" i="1"/>
  <c r="K77" i="1"/>
  <c r="J78" i="1"/>
  <c r="K78" i="1"/>
  <c r="AG75" i="1"/>
  <c r="F79" i="1"/>
  <c r="F80" i="1"/>
  <c r="F81" i="1"/>
  <c r="F82" i="1"/>
  <c r="G79" i="1"/>
  <c r="G80" i="1"/>
  <c r="G81" i="1"/>
  <c r="G82" i="1"/>
  <c r="J79" i="1"/>
  <c r="K79" i="1"/>
  <c r="J80" i="1"/>
  <c r="K80" i="1"/>
  <c r="J81" i="1"/>
  <c r="K81" i="1"/>
  <c r="J82" i="1"/>
  <c r="K82" i="1"/>
  <c r="AG79" i="1"/>
  <c r="F83" i="1"/>
  <c r="F84" i="1"/>
  <c r="F85" i="1"/>
  <c r="F86" i="1"/>
  <c r="G83" i="1"/>
  <c r="G84" i="1"/>
  <c r="G85" i="1"/>
  <c r="G86" i="1"/>
  <c r="J83" i="1"/>
  <c r="K83" i="1"/>
  <c r="J84" i="1"/>
  <c r="K84" i="1"/>
  <c r="J85" i="1"/>
  <c r="K85" i="1"/>
  <c r="J86" i="1"/>
  <c r="K86" i="1"/>
  <c r="AG83" i="1"/>
  <c r="F87" i="1"/>
  <c r="F88" i="1"/>
  <c r="F89" i="1"/>
  <c r="F90" i="1"/>
  <c r="G87" i="1"/>
  <c r="G88" i="1"/>
  <c r="G89" i="1"/>
  <c r="G90" i="1"/>
  <c r="J87" i="1"/>
  <c r="K87" i="1"/>
  <c r="J88" i="1"/>
  <c r="K88" i="1"/>
  <c r="J89" i="1"/>
  <c r="K89" i="1"/>
  <c r="J90" i="1"/>
  <c r="K90" i="1"/>
  <c r="AG87" i="1"/>
  <c r="AG96" i="1"/>
  <c r="D75" i="1"/>
  <c r="D76" i="1"/>
  <c r="D77" i="1"/>
  <c r="D78" i="1"/>
  <c r="E75" i="1"/>
  <c r="E76" i="1"/>
  <c r="E77" i="1"/>
  <c r="E78" i="1"/>
  <c r="H75" i="1"/>
  <c r="I75" i="1"/>
  <c r="H76" i="1"/>
  <c r="I76" i="1"/>
  <c r="H77" i="1"/>
  <c r="I77" i="1"/>
  <c r="H78" i="1"/>
  <c r="I78" i="1"/>
  <c r="AF75" i="1"/>
  <c r="D79" i="1"/>
  <c r="D80" i="1"/>
  <c r="D81" i="1"/>
  <c r="D82" i="1"/>
  <c r="E79" i="1"/>
  <c r="E80" i="1"/>
  <c r="E81" i="1"/>
  <c r="E82" i="1"/>
  <c r="H79" i="1"/>
  <c r="I79" i="1"/>
  <c r="H80" i="1"/>
  <c r="I80" i="1"/>
  <c r="H81" i="1"/>
  <c r="I81" i="1"/>
  <c r="H82" i="1"/>
  <c r="I82" i="1"/>
  <c r="AF79" i="1"/>
  <c r="D83" i="1"/>
  <c r="D84" i="1"/>
  <c r="D85" i="1"/>
  <c r="D86" i="1"/>
  <c r="E83" i="1"/>
  <c r="E84" i="1"/>
  <c r="E85" i="1"/>
  <c r="E86" i="1"/>
  <c r="H83" i="1"/>
  <c r="I83" i="1"/>
  <c r="H84" i="1"/>
  <c r="I84" i="1"/>
  <c r="H85" i="1"/>
  <c r="I85" i="1"/>
  <c r="H86" i="1"/>
  <c r="I86" i="1"/>
  <c r="AF83" i="1"/>
  <c r="D87" i="1"/>
  <c r="D88" i="1"/>
  <c r="D89" i="1"/>
  <c r="D90" i="1"/>
  <c r="E87" i="1"/>
  <c r="E88" i="1"/>
  <c r="E89" i="1"/>
  <c r="E90" i="1"/>
  <c r="H87" i="1"/>
  <c r="I87" i="1"/>
  <c r="H88" i="1"/>
  <c r="I88" i="1"/>
  <c r="H89" i="1"/>
  <c r="I89" i="1"/>
  <c r="H90" i="1"/>
  <c r="I90" i="1"/>
  <c r="AF87" i="1"/>
  <c r="AF96" i="1"/>
  <c r="AE75" i="1"/>
  <c r="AE79" i="1"/>
  <c r="AE83" i="1"/>
  <c r="AE87" i="1"/>
  <c r="AE96" i="1"/>
  <c r="F75" i="3"/>
  <c r="F76" i="3"/>
  <c r="F77" i="3"/>
  <c r="F78" i="3"/>
  <c r="G75" i="3"/>
  <c r="G76" i="3"/>
  <c r="G77" i="3"/>
  <c r="G78" i="3"/>
  <c r="J75" i="3"/>
  <c r="K75" i="3"/>
  <c r="J76" i="3"/>
  <c r="K76" i="3"/>
  <c r="J77" i="3"/>
  <c r="K77" i="3"/>
  <c r="J78" i="3"/>
  <c r="K78" i="3"/>
  <c r="AG75" i="3"/>
  <c r="F79" i="3"/>
  <c r="F80" i="3"/>
  <c r="F81" i="3"/>
  <c r="F82" i="3"/>
  <c r="G79" i="3"/>
  <c r="G80" i="3"/>
  <c r="G81" i="3"/>
  <c r="G82" i="3"/>
  <c r="J79" i="3"/>
  <c r="K79" i="3"/>
  <c r="J80" i="3"/>
  <c r="K80" i="3"/>
  <c r="J81" i="3"/>
  <c r="K81" i="3"/>
  <c r="J82" i="3"/>
  <c r="K82" i="3"/>
  <c r="AG79" i="3"/>
  <c r="F83" i="3"/>
  <c r="F84" i="3"/>
  <c r="F85" i="3"/>
  <c r="F86" i="3"/>
  <c r="G83" i="3"/>
  <c r="G84" i="3"/>
  <c r="G85" i="3"/>
  <c r="G86" i="3"/>
  <c r="J83" i="3"/>
  <c r="K83" i="3"/>
  <c r="J84" i="3"/>
  <c r="K84" i="3"/>
  <c r="J85" i="3"/>
  <c r="K85" i="3"/>
  <c r="J86" i="3"/>
  <c r="K86" i="3"/>
  <c r="AG83" i="3"/>
  <c r="F87" i="3"/>
  <c r="F88" i="3"/>
  <c r="F89" i="3"/>
  <c r="F90" i="3"/>
  <c r="G87" i="3"/>
  <c r="G88" i="3"/>
  <c r="G89" i="3"/>
  <c r="G90" i="3"/>
  <c r="J87" i="3"/>
  <c r="K87" i="3"/>
  <c r="J88" i="3"/>
  <c r="K88" i="3"/>
  <c r="J89" i="3"/>
  <c r="K89" i="3"/>
  <c r="J90" i="3"/>
  <c r="K90" i="3"/>
  <c r="AG87" i="3"/>
  <c r="AG96" i="3"/>
  <c r="D75" i="3"/>
  <c r="D76" i="3"/>
  <c r="D77" i="3"/>
  <c r="D78" i="3"/>
  <c r="E75" i="3"/>
  <c r="E76" i="3"/>
  <c r="E77" i="3"/>
  <c r="E78" i="3"/>
  <c r="H75" i="3"/>
  <c r="I75" i="3"/>
  <c r="H76" i="3"/>
  <c r="I76" i="3"/>
  <c r="H77" i="3"/>
  <c r="I77" i="3"/>
  <c r="H78" i="3"/>
  <c r="I78" i="3"/>
  <c r="AF75" i="3"/>
  <c r="D79" i="3"/>
  <c r="D80" i="3"/>
  <c r="D81" i="3"/>
  <c r="D82" i="3"/>
  <c r="E79" i="3"/>
  <c r="E80" i="3"/>
  <c r="E81" i="3"/>
  <c r="E82" i="3"/>
  <c r="H79" i="3"/>
  <c r="I79" i="3"/>
  <c r="H80" i="3"/>
  <c r="I80" i="3"/>
  <c r="H81" i="3"/>
  <c r="I81" i="3"/>
  <c r="H82" i="3"/>
  <c r="I82" i="3"/>
  <c r="AF79" i="3"/>
  <c r="D83" i="3"/>
  <c r="D84" i="3"/>
  <c r="D85" i="3"/>
  <c r="D86" i="3"/>
  <c r="E83" i="3"/>
  <c r="E84" i="3"/>
  <c r="E85" i="3"/>
  <c r="E86" i="3"/>
  <c r="H83" i="3"/>
  <c r="I83" i="3"/>
  <c r="H84" i="3"/>
  <c r="I84" i="3"/>
  <c r="H85" i="3"/>
  <c r="I85" i="3"/>
  <c r="H86" i="3"/>
  <c r="I86" i="3"/>
  <c r="AF83" i="3"/>
  <c r="D87" i="3"/>
  <c r="D88" i="3"/>
  <c r="D89" i="3"/>
  <c r="D90" i="3"/>
  <c r="E87" i="3"/>
  <c r="E88" i="3"/>
  <c r="E89" i="3"/>
  <c r="E90" i="3"/>
  <c r="H87" i="3"/>
  <c r="I87" i="3"/>
  <c r="H88" i="3"/>
  <c r="I88" i="3"/>
  <c r="H89" i="3"/>
  <c r="I89" i="3"/>
  <c r="H90" i="3"/>
  <c r="I90" i="3"/>
  <c r="AF87" i="3"/>
  <c r="AF96" i="3"/>
  <c r="AE75" i="3"/>
  <c r="AE79" i="3"/>
  <c r="AE83" i="3"/>
  <c r="AE87" i="3"/>
  <c r="AE96" i="3"/>
  <c r="F75" i="4"/>
  <c r="F76" i="4"/>
  <c r="F77" i="4"/>
  <c r="F78" i="4"/>
  <c r="G75" i="4"/>
  <c r="G76" i="4"/>
  <c r="G77" i="4"/>
  <c r="G78" i="4"/>
  <c r="J75" i="4"/>
  <c r="K75" i="4"/>
  <c r="J76" i="4"/>
  <c r="K76" i="4"/>
  <c r="J77" i="4"/>
  <c r="K77" i="4"/>
  <c r="J78" i="4"/>
  <c r="K78" i="4"/>
  <c r="AG75" i="4"/>
  <c r="F79" i="4"/>
  <c r="F80" i="4"/>
  <c r="F81" i="4"/>
  <c r="F82" i="4"/>
  <c r="G79" i="4"/>
  <c r="G80" i="4"/>
  <c r="G81" i="4"/>
  <c r="G82" i="4"/>
  <c r="J79" i="4"/>
  <c r="K79" i="4"/>
  <c r="J80" i="4"/>
  <c r="K80" i="4"/>
  <c r="J81" i="4"/>
  <c r="K81" i="4"/>
  <c r="J82" i="4"/>
  <c r="K82" i="4"/>
  <c r="AG79" i="4"/>
  <c r="F83" i="4"/>
  <c r="F84" i="4"/>
  <c r="F85" i="4"/>
  <c r="F86" i="4"/>
  <c r="G83" i="4"/>
  <c r="G84" i="4"/>
  <c r="G85" i="4"/>
  <c r="G86" i="4"/>
  <c r="J83" i="4"/>
  <c r="K83" i="4"/>
  <c r="J84" i="4"/>
  <c r="K84" i="4"/>
  <c r="J85" i="4"/>
  <c r="K85" i="4"/>
  <c r="J86" i="4"/>
  <c r="K86" i="4"/>
  <c r="AG83" i="4"/>
  <c r="F87" i="4"/>
  <c r="F88" i="4"/>
  <c r="F89" i="4"/>
  <c r="F90" i="4"/>
  <c r="G87" i="4"/>
  <c r="G88" i="4"/>
  <c r="G89" i="4"/>
  <c r="G90" i="4"/>
  <c r="J87" i="4"/>
  <c r="K87" i="4"/>
  <c r="J88" i="4"/>
  <c r="K88" i="4"/>
  <c r="J89" i="4"/>
  <c r="K89" i="4"/>
  <c r="J90" i="4"/>
  <c r="K90" i="4"/>
  <c r="AG87" i="4"/>
  <c r="AG96" i="4"/>
  <c r="D75" i="4"/>
  <c r="D76" i="4"/>
  <c r="D77" i="4"/>
  <c r="D78" i="4"/>
  <c r="E75" i="4"/>
  <c r="E76" i="4"/>
  <c r="E77" i="4"/>
  <c r="E78" i="4"/>
  <c r="H75" i="4"/>
  <c r="I75" i="4"/>
  <c r="H76" i="4"/>
  <c r="I76" i="4"/>
  <c r="H77" i="4"/>
  <c r="I77" i="4"/>
  <c r="H78" i="4"/>
  <c r="I78" i="4"/>
  <c r="AF75" i="4"/>
  <c r="D79" i="4"/>
  <c r="D80" i="4"/>
  <c r="D81" i="4"/>
  <c r="D82" i="4"/>
  <c r="E79" i="4"/>
  <c r="E80" i="4"/>
  <c r="E81" i="4"/>
  <c r="E82" i="4"/>
  <c r="H79" i="4"/>
  <c r="I79" i="4"/>
  <c r="H80" i="4"/>
  <c r="I80" i="4"/>
  <c r="H81" i="4"/>
  <c r="I81" i="4"/>
  <c r="H82" i="4"/>
  <c r="I82" i="4"/>
  <c r="AF79" i="4"/>
  <c r="D83" i="4"/>
  <c r="D84" i="4"/>
  <c r="D85" i="4"/>
  <c r="D86" i="4"/>
  <c r="E83" i="4"/>
  <c r="E84" i="4"/>
  <c r="E85" i="4"/>
  <c r="E86" i="4"/>
  <c r="H83" i="4"/>
  <c r="I83" i="4"/>
  <c r="H84" i="4"/>
  <c r="I84" i="4"/>
  <c r="H85" i="4"/>
  <c r="I85" i="4"/>
  <c r="H86" i="4"/>
  <c r="I86" i="4"/>
  <c r="AF83" i="4"/>
  <c r="D87" i="4"/>
  <c r="D88" i="4"/>
  <c r="D89" i="4"/>
  <c r="D90" i="4"/>
  <c r="E87" i="4"/>
  <c r="E88" i="4"/>
  <c r="E89" i="4"/>
  <c r="E90" i="4"/>
  <c r="H87" i="4"/>
  <c r="I87" i="4"/>
  <c r="H88" i="4"/>
  <c r="I88" i="4"/>
  <c r="H89" i="4"/>
  <c r="I89" i="4"/>
  <c r="H90" i="4"/>
  <c r="I90" i="4"/>
  <c r="AF87" i="4"/>
  <c r="AF96" i="4"/>
  <c r="AE75" i="4"/>
  <c r="AE79" i="4"/>
  <c r="AE83" i="4"/>
  <c r="AE87" i="4"/>
  <c r="AE96" i="4"/>
  <c r="F75" i="5"/>
  <c r="F76" i="5"/>
  <c r="F77" i="5"/>
  <c r="F78" i="5"/>
  <c r="G75" i="5"/>
  <c r="G76" i="5"/>
  <c r="G77" i="5"/>
  <c r="G78" i="5"/>
  <c r="J75" i="5"/>
  <c r="K75" i="5"/>
  <c r="J76" i="5"/>
  <c r="K76" i="5"/>
  <c r="J77" i="5"/>
  <c r="K77" i="5"/>
  <c r="J78" i="5"/>
  <c r="K78" i="5"/>
  <c r="AG75" i="5"/>
  <c r="F79" i="5"/>
  <c r="F80" i="5"/>
  <c r="F81" i="5"/>
  <c r="F82" i="5"/>
  <c r="G79" i="5"/>
  <c r="G80" i="5"/>
  <c r="G81" i="5"/>
  <c r="G82" i="5"/>
  <c r="J79" i="5"/>
  <c r="K79" i="5"/>
  <c r="J80" i="5"/>
  <c r="K80" i="5"/>
  <c r="J81" i="5"/>
  <c r="K81" i="5"/>
  <c r="J82" i="5"/>
  <c r="K82" i="5"/>
  <c r="AG79" i="5"/>
  <c r="F83" i="5"/>
  <c r="F84" i="5"/>
  <c r="F85" i="5"/>
  <c r="F86" i="5"/>
  <c r="G83" i="5"/>
  <c r="G84" i="5"/>
  <c r="G85" i="5"/>
  <c r="G86" i="5"/>
  <c r="J83" i="5"/>
  <c r="K83" i="5"/>
  <c r="J84" i="5"/>
  <c r="K84" i="5"/>
  <c r="J85" i="5"/>
  <c r="K85" i="5"/>
  <c r="J86" i="5"/>
  <c r="K86" i="5"/>
  <c r="AG83" i="5"/>
  <c r="F87" i="5"/>
  <c r="F88" i="5"/>
  <c r="F89" i="5"/>
  <c r="F90" i="5"/>
  <c r="G87" i="5"/>
  <c r="G88" i="5"/>
  <c r="G89" i="5"/>
  <c r="G90" i="5"/>
  <c r="J87" i="5"/>
  <c r="K87" i="5"/>
  <c r="J88" i="5"/>
  <c r="K88" i="5"/>
  <c r="J89" i="5"/>
  <c r="K89" i="5"/>
  <c r="J90" i="5"/>
  <c r="K90" i="5"/>
  <c r="AG87" i="5"/>
  <c r="AG96" i="5"/>
  <c r="D75" i="5"/>
  <c r="D76" i="5"/>
  <c r="D77" i="5"/>
  <c r="D78" i="5"/>
  <c r="E75" i="5"/>
  <c r="E76" i="5"/>
  <c r="E77" i="5"/>
  <c r="E78" i="5"/>
  <c r="H75" i="5"/>
  <c r="I75" i="5"/>
  <c r="H76" i="5"/>
  <c r="I76" i="5"/>
  <c r="H77" i="5"/>
  <c r="I77" i="5"/>
  <c r="H78" i="5"/>
  <c r="I78" i="5"/>
  <c r="AF75" i="5"/>
  <c r="D79" i="5"/>
  <c r="D80" i="5"/>
  <c r="D81" i="5"/>
  <c r="D82" i="5"/>
  <c r="E79" i="5"/>
  <c r="E80" i="5"/>
  <c r="E81" i="5"/>
  <c r="E82" i="5"/>
  <c r="H79" i="5"/>
  <c r="I79" i="5"/>
  <c r="H80" i="5"/>
  <c r="I80" i="5"/>
  <c r="H81" i="5"/>
  <c r="I81" i="5"/>
  <c r="H82" i="5"/>
  <c r="I82" i="5"/>
  <c r="AF79" i="5"/>
  <c r="D83" i="5"/>
  <c r="D84" i="5"/>
  <c r="D85" i="5"/>
  <c r="D86" i="5"/>
  <c r="E83" i="5"/>
  <c r="E84" i="5"/>
  <c r="E85" i="5"/>
  <c r="E86" i="5"/>
  <c r="H83" i="5"/>
  <c r="I83" i="5"/>
  <c r="H84" i="5"/>
  <c r="I84" i="5"/>
  <c r="H85" i="5"/>
  <c r="I85" i="5"/>
  <c r="H86" i="5"/>
  <c r="I86" i="5"/>
  <c r="AF83" i="5"/>
  <c r="D87" i="5"/>
  <c r="D88" i="5"/>
  <c r="D89" i="5"/>
  <c r="D90" i="5"/>
  <c r="E87" i="5"/>
  <c r="E88" i="5"/>
  <c r="E89" i="5"/>
  <c r="E90" i="5"/>
  <c r="H87" i="5"/>
  <c r="I87" i="5"/>
  <c r="H88" i="5"/>
  <c r="I88" i="5"/>
  <c r="H89" i="5"/>
  <c r="I89" i="5"/>
  <c r="H90" i="5"/>
  <c r="I90" i="5"/>
  <c r="AF87" i="5"/>
  <c r="AF96" i="5"/>
  <c r="AE75" i="5"/>
  <c r="AE79" i="5"/>
  <c r="AE83" i="5"/>
  <c r="AE87" i="5"/>
  <c r="AE96" i="5"/>
  <c r="AF75" i="6"/>
  <c r="AF79" i="6"/>
  <c r="AF83" i="6"/>
  <c r="AF87" i="6"/>
  <c r="AF96" i="6"/>
  <c r="AG75" i="6"/>
  <c r="AG79" i="6"/>
  <c r="AG83" i="6"/>
  <c r="AG87" i="6"/>
  <c r="AG96" i="6"/>
  <c r="AE75" i="6"/>
  <c r="AE79" i="6"/>
  <c r="AE83" i="6"/>
  <c r="AE87" i="6"/>
  <c r="AE96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104" i="6"/>
  <c r="AC104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104" i="6"/>
  <c r="U104" i="6"/>
  <c r="AD102" i="6"/>
  <c r="V102" i="6"/>
  <c r="AD103" i="6"/>
  <c r="AC102" i="6"/>
  <c r="U102" i="6"/>
  <c r="AC103" i="6"/>
  <c r="F31" i="6"/>
  <c r="F32" i="6"/>
  <c r="F33" i="6"/>
  <c r="F34" i="6"/>
  <c r="G31" i="6"/>
  <c r="G32" i="6"/>
  <c r="G33" i="6"/>
  <c r="G34" i="6"/>
  <c r="J31" i="6"/>
  <c r="K31" i="6"/>
  <c r="J32" i="6"/>
  <c r="K32" i="6"/>
  <c r="J33" i="6"/>
  <c r="K33" i="6"/>
  <c r="J34" i="6"/>
  <c r="K34" i="6"/>
  <c r="AG31" i="6"/>
  <c r="F35" i="6"/>
  <c r="F36" i="6"/>
  <c r="F37" i="6"/>
  <c r="F38" i="6"/>
  <c r="G35" i="6"/>
  <c r="G36" i="6"/>
  <c r="G37" i="6"/>
  <c r="G38" i="6"/>
  <c r="J35" i="6"/>
  <c r="K35" i="6"/>
  <c r="J36" i="6"/>
  <c r="K36" i="6"/>
  <c r="J37" i="6"/>
  <c r="K37" i="6"/>
  <c r="J38" i="6"/>
  <c r="K38" i="6"/>
  <c r="AG35" i="6"/>
  <c r="F39" i="6"/>
  <c r="F40" i="6"/>
  <c r="F41" i="6"/>
  <c r="F42" i="6"/>
  <c r="G39" i="6"/>
  <c r="G40" i="6"/>
  <c r="G41" i="6"/>
  <c r="G42" i="6"/>
  <c r="J39" i="6"/>
  <c r="K39" i="6"/>
  <c r="J40" i="6"/>
  <c r="K40" i="6"/>
  <c r="J41" i="6"/>
  <c r="K41" i="6"/>
  <c r="J42" i="6"/>
  <c r="K42" i="6"/>
  <c r="AG39" i="6"/>
  <c r="F43" i="6"/>
  <c r="F44" i="6"/>
  <c r="F45" i="6"/>
  <c r="F46" i="6"/>
  <c r="G43" i="6"/>
  <c r="G44" i="6"/>
  <c r="G45" i="6"/>
  <c r="G46" i="6"/>
  <c r="J43" i="6"/>
  <c r="K43" i="6"/>
  <c r="J44" i="6"/>
  <c r="K44" i="6"/>
  <c r="J45" i="6"/>
  <c r="K45" i="6"/>
  <c r="J46" i="6"/>
  <c r="K46" i="6"/>
  <c r="AG43" i="6"/>
  <c r="F47" i="6"/>
  <c r="F48" i="6"/>
  <c r="F49" i="6"/>
  <c r="F50" i="6"/>
  <c r="G47" i="6"/>
  <c r="G48" i="6"/>
  <c r="G49" i="6"/>
  <c r="G50" i="6"/>
  <c r="J47" i="6"/>
  <c r="K47" i="6"/>
  <c r="J48" i="6"/>
  <c r="K48" i="6"/>
  <c r="J49" i="6"/>
  <c r="K49" i="6"/>
  <c r="J50" i="6"/>
  <c r="K50" i="6"/>
  <c r="AG47" i="6"/>
  <c r="F51" i="6"/>
  <c r="F52" i="6"/>
  <c r="F53" i="6"/>
  <c r="F54" i="6"/>
  <c r="G51" i="6"/>
  <c r="G52" i="6"/>
  <c r="G53" i="6"/>
  <c r="G54" i="6"/>
  <c r="J51" i="6"/>
  <c r="K51" i="6"/>
  <c r="J52" i="6"/>
  <c r="K52" i="6"/>
  <c r="J53" i="6"/>
  <c r="K53" i="6"/>
  <c r="J54" i="6"/>
  <c r="K54" i="6"/>
  <c r="AG51" i="6"/>
  <c r="F59" i="6"/>
  <c r="F60" i="6"/>
  <c r="F61" i="6"/>
  <c r="F62" i="6"/>
  <c r="G59" i="6"/>
  <c r="G60" i="6"/>
  <c r="G61" i="6"/>
  <c r="G62" i="6"/>
  <c r="J59" i="6"/>
  <c r="K59" i="6"/>
  <c r="J60" i="6"/>
  <c r="K60" i="6"/>
  <c r="J61" i="6"/>
  <c r="K61" i="6"/>
  <c r="J62" i="6"/>
  <c r="K62" i="6"/>
  <c r="AG59" i="6"/>
  <c r="F55" i="6"/>
  <c r="F56" i="6"/>
  <c r="F57" i="6"/>
  <c r="F58" i="6"/>
  <c r="G55" i="6"/>
  <c r="G56" i="6"/>
  <c r="G57" i="6"/>
  <c r="G58" i="6"/>
  <c r="J55" i="6"/>
  <c r="K55" i="6"/>
  <c r="J56" i="6"/>
  <c r="K56" i="6"/>
  <c r="J57" i="6"/>
  <c r="K57" i="6"/>
  <c r="J58" i="6"/>
  <c r="K58" i="6"/>
  <c r="AG55" i="6"/>
  <c r="F63" i="6"/>
  <c r="F64" i="6"/>
  <c r="F65" i="6"/>
  <c r="F66" i="6"/>
  <c r="G63" i="6"/>
  <c r="G64" i="6"/>
  <c r="G65" i="6"/>
  <c r="G66" i="6"/>
  <c r="J63" i="6"/>
  <c r="K63" i="6"/>
  <c r="J64" i="6"/>
  <c r="K64" i="6"/>
  <c r="J65" i="6"/>
  <c r="K65" i="6"/>
  <c r="J66" i="6"/>
  <c r="K66" i="6"/>
  <c r="AG63" i="6"/>
  <c r="F67" i="6"/>
  <c r="F68" i="6"/>
  <c r="F69" i="6"/>
  <c r="F70" i="6"/>
  <c r="G67" i="6"/>
  <c r="G68" i="6"/>
  <c r="G69" i="6"/>
  <c r="G70" i="6"/>
  <c r="J67" i="6"/>
  <c r="K67" i="6"/>
  <c r="J68" i="6"/>
  <c r="K68" i="6"/>
  <c r="J69" i="6"/>
  <c r="K69" i="6"/>
  <c r="J70" i="6"/>
  <c r="K70" i="6"/>
  <c r="AG67" i="6"/>
  <c r="F71" i="6"/>
  <c r="F72" i="6"/>
  <c r="F73" i="6"/>
  <c r="F74" i="6"/>
  <c r="G71" i="6"/>
  <c r="G72" i="6"/>
  <c r="G73" i="6"/>
  <c r="G74" i="6"/>
  <c r="J71" i="6"/>
  <c r="K71" i="6"/>
  <c r="J72" i="6"/>
  <c r="K72" i="6"/>
  <c r="J73" i="6"/>
  <c r="K73" i="6"/>
  <c r="J74" i="6"/>
  <c r="K74" i="6"/>
  <c r="AG71" i="6"/>
  <c r="F75" i="6"/>
  <c r="F76" i="6"/>
  <c r="F77" i="6"/>
  <c r="F78" i="6"/>
  <c r="G75" i="6"/>
  <c r="G76" i="6"/>
  <c r="G77" i="6"/>
  <c r="G78" i="6"/>
  <c r="J75" i="6"/>
  <c r="K75" i="6"/>
  <c r="J76" i="6"/>
  <c r="K76" i="6"/>
  <c r="J77" i="6"/>
  <c r="K77" i="6"/>
  <c r="J78" i="6"/>
  <c r="K78" i="6"/>
  <c r="F79" i="6"/>
  <c r="F80" i="6"/>
  <c r="F81" i="6"/>
  <c r="F82" i="6"/>
  <c r="G79" i="6"/>
  <c r="G80" i="6"/>
  <c r="G81" i="6"/>
  <c r="G82" i="6"/>
  <c r="J79" i="6"/>
  <c r="K79" i="6"/>
  <c r="J80" i="6"/>
  <c r="K80" i="6"/>
  <c r="J81" i="6"/>
  <c r="K81" i="6"/>
  <c r="J82" i="6"/>
  <c r="K82" i="6"/>
  <c r="F83" i="6"/>
  <c r="F84" i="6"/>
  <c r="F85" i="6"/>
  <c r="F86" i="6"/>
  <c r="G83" i="6"/>
  <c r="G84" i="6"/>
  <c r="G85" i="6"/>
  <c r="G86" i="6"/>
  <c r="J83" i="6"/>
  <c r="K83" i="6"/>
  <c r="J84" i="6"/>
  <c r="K84" i="6"/>
  <c r="J85" i="6"/>
  <c r="K85" i="6"/>
  <c r="J86" i="6"/>
  <c r="K86" i="6"/>
  <c r="F87" i="6"/>
  <c r="F88" i="6"/>
  <c r="F89" i="6"/>
  <c r="F90" i="6"/>
  <c r="G87" i="6"/>
  <c r="G88" i="6"/>
  <c r="G89" i="6"/>
  <c r="G90" i="6"/>
  <c r="J87" i="6"/>
  <c r="K87" i="6"/>
  <c r="J88" i="6"/>
  <c r="K88" i="6"/>
  <c r="J89" i="6"/>
  <c r="K89" i="6"/>
  <c r="J90" i="6"/>
  <c r="K90" i="6"/>
  <c r="AG101" i="6"/>
  <c r="D31" i="6"/>
  <c r="D32" i="6"/>
  <c r="D33" i="6"/>
  <c r="D34" i="6"/>
  <c r="E31" i="6"/>
  <c r="E32" i="6"/>
  <c r="E33" i="6"/>
  <c r="E34" i="6"/>
  <c r="H31" i="6"/>
  <c r="I31" i="6"/>
  <c r="H32" i="6"/>
  <c r="I32" i="6"/>
  <c r="H33" i="6"/>
  <c r="I33" i="6"/>
  <c r="H34" i="6"/>
  <c r="I34" i="6"/>
  <c r="AF31" i="6"/>
  <c r="D35" i="6"/>
  <c r="D36" i="6"/>
  <c r="D37" i="6"/>
  <c r="D38" i="6"/>
  <c r="E35" i="6"/>
  <c r="E36" i="6"/>
  <c r="E37" i="6"/>
  <c r="E38" i="6"/>
  <c r="H35" i="6"/>
  <c r="I35" i="6"/>
  <c r="H36" i="6"/>
  <c r="I36" i="6"/>
  <c r="H37" i="6"/>
  <c r="I37" i="6"/>
  <c r="H38" i="6"/>
  <c r="I38" i="6"/>
  <c r="AF35" i="6"/>
  <c r="D39" i="6"/>
  <c r="D40" i="6"/>
  <c r="D41" i="6"/>
  <c r="D42" i="6"/>
  <c r="E39" i="6"/>
  <c r="E40" i="6"/>
  <c r="E41" i="6"/>
  <c r="E42" i="6"/>
  <c r="H39" i="6"/>
  <c r="I39" i="6"/>
  <c r="H40" i="6"/>
  <c r="I40" i="6"/>
  <c r="H41" i="6"/>
  <c r="I41" i="6"/>
  <c r="H42" i="6"/>
  <c r="I42" i="6"/>
  <c r="AF39" i="6"/>
  <c r="D43" i="6"/>
  <c r="D44" i="6"/>
  <c r="D45" i="6"/>
  <c r="D46" i="6"/>
  <c r="E43" i="6"/>
  <c r="E44" i="6"/>
  <c r="E45" i="6"/>
  <c r="E46" i="6"/>
  <c r="H43" i="6"/>
  <c r="I43" i="6"/>
  <c r="H44" i="6"/>
  <c r="I44" i="6"/>
  <c r="H45" i="6"/>
  <c r="I45" i="6"/>
  <c r="H46" i="6"/>
  <c r="I46" i="6"/>
  <c r="AF43" i="6"/>
  <c r="D47" i="6"/>
  <c r="D48" i="6"/>
  <c r="D49" i="6"/>
  <c r="D50" i="6"/>
  <c r="E47" i="6"/>
  <c r="E48" i="6"/>
  <c r="E49" i="6"/>
  <c r="E50" i="6"/>
  <c r="H47" i="6"/>
  <c r="I47" i="6"/>
  <c r="H48" i="6"/>
  <c r="I48" i="6"/>
  <c r="H49" i="6"/>
  <c r="I49" i="6"/>
  <c r="H50" i="6"/>
  <c r="I50" i="6"/>
  <c r="AF47" i="6"/>
  <c r="D51" i="6"/>
  <c r="D52" i="6"/>
  <c r="D53" i="6"/>
  <c r="D54" i="6"/>
  <c r="E51" i="6"/>
  <c r="E52" i="6"/>
  <c r="E53" i="6"/>
  <c r="E54" i="6"/>
  <c r="H51" i="6"/>
  <c r="I51" i="6"/>
  <c r="H52" i="6"/>
  <c r="I52" i="6"/>
  <c r="H53" i="6"/>
  <c r="I53" i="6"/>
  <c r="H54" i="6"/>
  <c r="I54" i="6"/>
  <c r="AF51" i="6"/>
  <c r="D59" i="6"/>
  <c r="D60" i="6"/>
  <c r="D61" i="6"/>
  <c r="D62" i="6"/>
  <c r="E59" i="6"/>
  <c r="E60" i="6"/>
  <c r="E61" i="6"/>
  <c r="E62" i="6"/>
  <c r="H59" i="6"/>
  <c r="I59" i="6"/>
  <c r="H60" i="6"/>
  <c r="I60" i="6"/>
  <c r="H61" i="6"/>
  <c r="I61" i="6"/>
  <c r="H62" i="6"/>
  <c r="I62" i="6"/>
  <c r="AF59" i="6"/>
  <c r="D55" i="6"/>
  <c r="D56" i="6"/>
  <c r="D57" i="6"/>
  <c r="D58" i="6"/>
  <c r="E55" i="6"/>
  <c r="E56" i="6"/>
  <c r="E57" i="6"/>
  <c r="E58" i="6"/>
  <c r="H55" i="6"/>
  <c r="I55" i="6"/>
  <c r="H56" i="6"/>
  <c r="I56" i="6"/>
  <c r="H57" i="6"/>
  <c r="I57" i="6"/>
  <c r="H58" i="6"/>
  <c r="I58" i="6"/>
  <c r="AF55" i="6"/>
  <c r="D63" i="6"/>
  <c r="D64" i="6"/>
  <c r="D65" i="6"/>
  <c r="D66" i="6"/>
  <c r="E63" i="6"/>
  <c r="E64" i="6"/>
  <c r="E65" i="6"/>
  <c r="E66" i="6"/>
  <c r="H63" i="6"/>
  <c r="I63" i="6"/>
  <c r="H64" i="6"/>
  <c r="I64" i="6"/>
  <c r="H65" i="6"/>
  <c r="I65" i="6"/>
  <c r="H66" i="6"/>
  <c r="I66" i="6"/>
  <c r="AF63" i="6"/>
  <c r="D67" i="6"/>
  <c r="D68" i="6"/>
  <c r="D69" i="6"/>
  <c r="D70" i="6"/>
  <c r="E67" i="6"/>
  <c r="E68" i="6"/>
  <c r="E69" i="6"/>
  <c r="E70" i="6"/>
  <c r="H67" i="6"/>
  <c r="I67" i="6"/>
  <c r="H68" i="6"/>
  <c r="I68" i="6"/>
  <c r="H69" i="6"/>
  <c r="I69" i="6"/>
  <c r="H70" i="6"/>
  <c r="I70" i="6"/>
  <c r="AF67" i="6"/>
  <c r="D71" i="6"/>
  <c r="D72" i="6"/>
  <c r="D73" i="6"/>
  <c r="D74" i="6"/>
  <c r="E71" i="6"/>
  <c r="E72" i="6"/>
  <c r="E73" i="6"/>
  <c r="E74" i="6"/>
  <c r="H71" i="6"/>
  <c r="I71" i="6"/>
  <c r="H72" i="6"/>
  <c r="I72" i="6"/>
  <c r="H73" i="6"/>
  <c r="I73" i="6"/>
  <c r="H74" i="6"/>
  <c r="I74" i="6"/>
  <c r="AF71" i="6"/>
  <c r="D75" i="6"/>
  <c r="D76" i="6"/>
  <c r="D77" i="6"/>
  <c r="D78" i="6"/>
  <c r="E75" i="6"/>
  <c r="E76" i="6"/>
  <c r="E77" i="6"/>
  <c r="E78" i="6"/>
  <c r="H75" i="6"/>
  <c r="I75" i="6"/>
  <c r="H76" i="6"/>
  <c r="I76" i="6"/>
  <c r="H77" i="6"/>
  <c r="I77" i="6"/>
  <c r="H78" i="6"/>
  <c r="I78" i="6"/>
  <c r="D79" i="6"/>
  <c r="D80" i="6"/>
  <c r="D81" i="6"/>
  <c r="D82" i="6"/>
  <c r="E79" i="6"/>
  <c r="E80" i="6"/>
  <c r="E81" i="6"/>
  <c r="E82" i="6"/>
  <c r="H79" i="6"/>
  <c r="I79" i="6"/>
  <c r="H80" i="6"/>
  <c r="I80" i="6"/>
  <c r="H81" i="6"/>
  <c r="I81" i="6"/>
  <c r="H82" i="6"/>
  <c r="I82" i="6"/>
  <c r="D83" i="6"/>
  <c r="D84" i="6"/>
  <c r="D85" i="6"/>
  <c r="D86" i="6"/>
  <c r="E83" i="6"/>
  <c r="E84" i="6"/>
  <c r="E85" i="6"/>
  <c r="E86" i="6"/>
  <c r="H83" i="6"/>
  <c r="I83" i="6"/>
  <c r="H84" i="6"/>
  <c r="I84" i="6"/>
  <c r="H85" i="6"/>
  <c r="I85" i="6"/>
  <c r="H86" i="6"/>
  <c r="I86" i="6"/>
  <c r="D87" i="6"/>
  <c r="D88" i="6"/>
  <c r="D89" i="6"/>
  <c r="D90" i="6"/>
  <c r="E87" i="6"/>
  <c r="E88" i="6"/>
  <c r="E89" i="6"/>
  <c r="E90" i="6"/>
  <c r="H87" i="6"/>
  <c r="I87" i="6"/>
  <c r="H88" i="6"/>
  <c r="I88" i="6"/>
  <c r="H89" i="6"/>
  <c r="I89" i="6"/>
  <c r="H90" i="6"/>
  <c r="I90" i="6"/>
  <c r="AF101" i="6"/>
  <c r="AE31" i="6"/>
  <c r="AE35" i="6"/>
  <c r="AE39" i="6"/>
  <c r="AE43" i="6"/>
  <c r="AE47" i="6"/>
  <c r="AE51" i="6"/>
  <c r="AE59" i="6"/>
  <c r="AE55" i="6"/>
  <c r="AE63" i="6"/>
  <c r="AE67" i="6"/>
  <c r="AE71" i="6"/>
  <c r="AE101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100" i="6"/>
  <c r="AC100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100" i="6"/>
  <c r="U100" i="6"/>
  <c r="AD98" i="6"/>
  <c r="V98" i="6"/>
  <c r="AD99" i="6"/>
  <c r="AC98" i="6"/>
  <c r="U98" i="6"/>
  <c r="AC99" i="6"/>
  <c r="F3" i="6"/>
  <c r="AG3" i="6"/>
  <c r="AG97" i="6"/>
  <c r="D3" i="6"/>
  <c r="AF3" i="6"/>
  <c r="AF97" i="6"/>
  <c r="AE3" i="6"/>
  <c r="AE97" i="6"/>
  <c r="AG95" i="6"/>
  <c r="AF95" i="6"/>
  <c r="AE95" i="6"/>
  <c r="AG94" i="6"/>
  <c r="AF94" i="6"/>
  <c r="AE94" i="6"/>
  <c r="AG93" i="6"/>
  <c r="AF93" i="6"/>
  <c r="AE93" i="6"/>
  <c r="F11" i="6"/>
  <c r="AG11" i="6"/>
  <c r="AG92" i="6"/>
  <c r="D11" i="6"/>
  <c r="AF11" i="6"/>
  <c r="AF92" i="6"/>
  <c r="AE11" i="6"/>
  <c r="AE92" i="6"/>
  <c r="AG91" i="6"/>
  <c r="AF91" i="6"/>
  <c r="AE91" i="6"/>
  <c r="AH90" i="6"/>
  <c r="W90" i="6"/>
  <c r="AH89" i="6"/>
  <c r="W89" i="6"/>
  <c r="AH88" i="6"/>
  <c r="W88" i="6"/>
  <c r="AH87" i="6"/>
  <c r="W87" i="6"/>
  <c r="AH86" i="6"/>
  <c r="W86" i="6"/>
  <c r="AH85" i="6"/>
  <c r="W85" i="6"/>
  <c r="AH84" i="6"/>
  <c r="W84" i="6"/>
  <c r="AH83" i="6"/>
  <c r="W83" i="6"/>
  <c r="AH82" i="6"/>
  <c r="W82" i="6"/>
  <c r="AH81" i="6"/>
  <c r="W81" i="6"/>
  <c r="AH80" i="6"/>
  <c r="W80" i="6"/>
  <c r="AH79" i="6"/>
  <c r="W79" i="6"/>
  <c r="AH78" i="6"/>
  <c r="W78" i="6"/>
  <c r="AH77" i="6"/>
  <c r="W77" i="6"/>
  <c r="AH76" i="6"/>
  <c r="W76" i="6"/>
  <c r="AH75" i="6"/>
  <c r="W75" i="6"/>
  <c r="AH74" i="6"/>
  <c r="W74" i="6"/>
  <c r="AH73" i="6"/>
  <c r="W73" i="6"/>
  <c r="AH72" i="6"/>
  <c r="W72" i="6"/>
  <c r="AH71" i="6"/>
  <c r="W71" i="6"/>
  <c r="AH70" i="6"/>
  <c r="W70" i="6"/>
  <c r="AH69" i="6"/>
  <c r="W69" i="6"/>
  <c r="AH68" i="6"/>
  <c r="W68" i="6"/>
  <c r="AH67" i="6"/>
  <c r="W67" i="6"/>
  <c r="AH66" i="6"/>
  <c r="W66" i="6"/>
  <c r="AH65" i="6"/>
  <c r="W65" i="6"/>
  <c r="AH64" i="6"/>
  <c r="W64" i="6"/>
  <c r="AH63" i="6"/>
  <c r="W63" i="6"/>
  <c r="AH62" i="6"/>
  <c r="W62" i="6"/>
  <c r="AH61" i="6"/>
  <c r="W61" i="6"/>
  <c r="AH60" i="6"/>
  <c r="W60" i="6"/>
  <c r="AH59" i="6"/>
  <c r="W59" i="6"/>
  <c r="AH58" i="6"/>
  <c r="W58" i="6"/>
  <c r="AH57" i="6"/>
  <c r="W57" i="6"/>
  <c r="AH56" i="6"/>
  <c r="W56" i="6"/>
  <c r="AH55" i="6"/>
  <c r="W55" i="6"/>
  <c r="AH54" i="6"/>
  <c r="W54" i="6"/>
  <c r="AH53" i="6"/>
  <c r="W53" i="6"/>
  <c r="AH52" i="6"/>
  <c r="W52" i="6"/>
  <c r="AH51" i="6"/>
  <c r="W51" i="6"/>
  <c r="AH50" i="6"/>
  <c r="W50" i="6"/>
  <c r="AH49" i="6"/>
  <c r="W49" i="6"/>
  <c r="AH48" i="6"/>
  <c r="W48" i="6"/>
  <c r="AH47" i="6"/>
  <c r="W47" i="6"/>
  <c r="AH46" i="6"/>
  <c r="W46" i="6"/>
  <c r="AH45" i="6"/>
  <c r="W45" i="6"/>
  <c r="AH44" i="6"/>
  <c r="W44" i="6"/>
  <c r="AH43" i="6"/>
  <c r="W43" i="6"/>
  <c r="AH42" i="6"/>
  <c r="W42" i="6"/>
  <c r="AH41" i="6"/>
  <c r="W41" i="6"/>
  <c r="AH40" i="6"/>
  <c r="W40" i="6"/>
  <c r="AH39" i="6"/>
  <c r="W39" i="6"/>
  <c r="AH38" i="6"/>
  <c r="W38" i="6"/>
  <c r="AH37" i="6"/>
  <c r="W37" i="6"/>
  <c r="AH36" i="6"/>
  <c r="W36" i="6"/>
  <c r="AH35" i="6"/>
  <c r="W35" i="6"/>
  <c r="AH34" i="6"/>
  <c r="W34" i="6"/>
  <c r="AH33" i="6"/>
  <c r="W33" i="6"/>
  <c r="AH32" i="6"/>
  <c r="W32" i="6"/>
  <c r="AH31" i="6"/>
  <c r="W31" i="6"/>
  <c r="AH30" i="6"/>
  <c r="W30" i="6"/>
  <c r="K30" i="6"/>
  <c r="J30" i="6"/>
  <c r="I30" i="6"/>
  <c r="H30" i="6"/>
  <c r="G30" i="6"/>
  <c r="F30" i="6"/>
  <c r="E30" i="6"/>
  <c r="D30" i="6"/>
  <c r="AH29" i="6"/>
  <c r="W29" i="6"/>
  <c r="K29" i="6"/>
  <c r="J29" i="6"/>
  <c r="I29" i="6"/>
  <c r="H29" i="6"/>
  <c r="G29" i="6"/>
  <c r="F29" i="6"/>
  <c r="E29" i="6"/>
  <c r="D29" i="6"/>
  <c r="AH28" i="6"/>
  <c r="W28" i="6"/>
  <c r="K28" i="6"/>
  <c r="J28" i="6"/>
  <c r="I28" i="6"/>
  <c r="H28" i="6"/>
  <c r="G28" i="6"/>
  <c r="F28" i="6"/>
  <c r="E28" i="6"/>
  <c r="D28" i="6"/>
  <c r="AH27" i="6"/>
  <c r="F27" i="6"/>
  <c r="AG27" i="6"/>
  <c r="D27" i="6"/>
  <c r="AF27" i="6"/>
  <c r="AE27" i="6"/>
  <c r="W27" i="6"/>
  <c r="K27" i="6"/>
  <c r="J27" i="6"/>
  <c r="I27" i="6"/>
  <c r="H27" i="6"/>
  <c r="G27" i="6"/>
  <c r="E27" i="6"/>
  <c r="AH26" i="6"/>
  <c r="W26" i="6"/>
  <c r="K26" i="6"/>
  <c r="J26" i="6"/>
  <c r="I26" i="6"/>
  <c r="H26" i="6"/>
  <c r="G26" i="6"/>
  <c r="F26" i="6"/>
  <c r="E26" i="6"/>
  <c r="D26" i="6"/>
  <c r="AH25" i="6"/>
  <c r="W25" i="6"/>
  <c r="K25" i="6"/>
  <c r="J25" i="6"/>
  <c r="I25" i="6"/>
  <c r="H25" i="6"/>
  <c r="G25" i="6"/>
  <c r="F25" i="6"/>
  <c r="E25" i="6"/>
  <c r="D25" i="6"/>
  <c r="AH24" i="6"/>
  <c r="W24" i="6"/>
  <c r="K24" i="6"/>
  <c r="J24" i="6"/>
  <c r="I24" i="6"/>
  <c r="H24" i="6"/>
  <c r="G24" i="6"/>
  <c r="F24" i="6"/>
  <c r="E24" i="6"/>
  <c r="D24" i="6"/>
  <c r="AH23" i="6"/>
  <c r="F23" i="6"/>
  <c r="AG23" i="6"/>
  <c r="D23" i="6"/>
  <c r="AF23" i="6"/>
  <c r="AE23" i="6"/>
  <c r="W23" i="6"/>
  <c r="K23" i="6"/>
  <c r="J23" i="6"/>
  <c r="I23" i="6"/>
  <c r="H23" i="6"/>
  <c r="G23" i="6"/>
  <c r="E23" i="6"/>
  <c r="AH22" i="6"/>
  <c r="W22" i="6"/>
  <c r="K22" i="6"/>
  <c r="J22" i="6"/>
  <c r="I22" i="6"/>
  <c r="H22" i="6"/>
  <c r="G22" i="6"/>
  <c r="F22" i="6"/>
  <c r="E22" i="6"/>
  <c r="D22" i="6"/>
  <c r="AH21" i="6"/>
  <c r="W21" i="6"/>
  <c r="K21" i="6"/>
  <c r="J21" i="6"/>
  <c r="I21" i="6"/>
  <c r="H21" i="6"/>
  <c r="G21" i="6"/>
  <c r="F21" i="6"/>
  <c r="E21" i="6"/>
  <c r="D21" i="6"/>
  <c r="AH20" i="6"/>
  <c r="W20" i="6"/>
  <c r="K20" i="6"/>
  <c r="J20" i="6"/>
  <c r="I20" i="6"/>
  <c r="H20" i="6"/>
  <c r="G20" i="6"/>
  <c r="F20" i="6"/>
  <c r="E20" i="6"/>
  <c r="D20" i="6"/>
  <c r="AH19" i="6"/>
  <c r="F19" i="6"/>
  <c r="AG19" i="6"/>
  <c r="D19" i="6"/>
  <c r="AF19" i="6"/>
  <c r="AE19" i="6"/>
  <c r="W19" i="6"/>
  <c r="K19" i="6"/>
  <c r="J19" i="6"/>
  <c r="I19" i="6"/>
  <c r="H19" i="6"/>
  <c r="G19" i="6"/>
  <c r="E19" i="6"/>
  <c r="AH18" i="6"/>
  <c r="W18" i="6"/>
  <c r="K18" i="6"/>
  <c r="J18" i="6"/>
  <c r="I18" i="6"/>
  <c r="H18" i="6"/>
  <c r="G18" i="6"/>
  <c r="F18" i="6"/>
  <c r="E18" i="6"/>
  <c r="D18" i="6"/>
  <c r="AH17" i="6"/>
  <c r="W17" i="6"/>
  <c r="K17" i="6"/>
  <c r="J17" i="6"/>
  <c r="I17" i="6"/>
  <c r="H17" i="6"/>
  <c r="G17" i="6"/>
  <c r="F17" i="6"/>
  <c r="E17" i="6"/>
  <c r="D17" i="6"/>
  <c r="AH16" i="6"/>
  <c r="W16" i="6"/>
  <c r="K16" i="6"/>
  <c r="J16" i="6"/>
  <c r="I16" i="6"/>
  <c r="H16" i="6"/>
  <c r="G16" i="6"/>
  <c r="F16" i="6"/>
  <c r="E16" i="6"/>
  <c r="D16" i="6"/>
  <c r="AH15" i="6"/>
  <c r="F15" i="6"/>
  <c r="AG15" i="6"/>
  <c r="D15" i="6"/>
  <c r="AF15" i="6"/>
  <c r="AE15" i="6"/>
  <c r="W15" i="6"/>
  <c r="K15" i="6"/>
  <c r="J15" i="6"/>
  <c r="I15" i="6"/>
  <c r="H15" i="6"/>
  <c r="G15" i="6"/>
  <c r="E15" i="6"/>
  <c r="AH14" i="6"/>
  <c r="W14" i="6"/>
  <c r="K14" i="6"/>
  <c r="J14" i="6"/>
  <c r="I14" i="6"/>
  <c r="H14" i="6"/>
  <c r="G14" i="6"/>
  <c r="F14" i="6"/>
  <c r="E14" i="6"/>
  <c r="D14" i="6"/>
  <c r="AH13" i="6"/>
  <c r="W13" i="6"/>
  <c r="K13" i="6"/>
  <c r="J13" i="6"/>
  <c r="I13" i="6"/>
  <c r="H13" i="6"/>
  <c r="G13" i="6"/>
  <c r="F13" i="6"/>
  <c r="E13" i="6"/>
  <c r="D13" i="6"/>
  <c r="AH12" i="6"/>
  <c r="W12" i="6"/>
  <c r="K12" i="6"/>
  <c r="J12" i="6"/>
  <c r="I12" i="6"/>
  <c r="H12" i="6"/>
  <c r="G12" i="6"/>
  <c r="F12" i="6"/>
  <c r="E12" i="6"/>
  <c r="D12" i="6"/>
  <c r="AH11" i="6"/>
  <c r="W11" i="6"/>
  <c r="K11" i="6"/>
  <c r="J11" i="6"/>
  <c r="I11" i="6"/>
  <c r="H11" i="6"/>
  <c r="G11" i="6"/>
  <c r="E11" i="6"/>
  <c r="AH10" i="6"/>
  <c r="W10" i="6"/>
  <c r="K10" i="6"/>
  <c r="J10" i="6"/>
  <c r="I10" i="6"/>
  <c r="H10" i="6"/>
  <c r="G10" i="6"/>
  <c r="F10" i="6"/>
  <c r="E10" i="6"/>
  <c r="D10" i="6"/>
  <c r="AH9" i="6"/>
  <c r="W9" i="6"/>
  <c r="K9" i="6"/>
  <c r="J9" i="6"/>
  <c r="I9" i="6"/>
  <c r="H9" i="6"/>
  <c r="G9" i="6"/>
  <c r="F9" i="6"/>
  <c r="E9" i="6"/>
  <c r="D9" i="6"/>
  <c r="AH8" i="6"/>
  <c r="W8" i="6"/>
  <c r="K8" i="6"/>
  <c r="J8" i="6"/>
  <c r="I8" i="6"/>
  <c r="H8" i="6"/>
  <c r="G8" i="6"/>
  <c r="F8" i="6"/>
  <c r="E8" i="6"/>
  <c r="D8" i="6"/>
  <c r="AH7" i="6"/>
  <c r="F7" i="6"/>
  <c r="AG7" i="6"/>
  <c r="D7" i="6"/>
  <c r="AF7" i="6"/>
  <c r="AE7" i="6"/>
  <c r="W7" i="6"/>
  <c r="K7" i="6"/>
  <c r="J7" i="6"/>
  <c r="I7" i="6"/>
  <c r="H7" i="6"/>
  <c r="G7" i="6"/>
  <c r="E7" i="6"/>
  <c r="AH6" i="6"/>
  <c r="W6" i="6"/>
  <c r="K6" i="6"/>
  <c r="J6" i="6"/>
  <c r="I6" i="6"/>
  <c r="H6" i="6"/>
  <c r="G6" i="6"/>
  <c r="F6" i="6"/>
  <c r="E6" i="6"/>
  <c r="D6" i="6"/>
  <c r="AH5" i="6"/>
  <c r="W5" i="6"/>
  <c r="K5" i="6"/>
  <c r="J5" i="6"/>
  <c r="I5" i="6"/>
  <c r="H5" i="6"/>
  <c r="G5" i="6"/>
  <c r="F5" i="6"/>
  <c r="E5" i="6"/>
  <c r="D5" i="6"/>
  <c r="AH4" i="6"/>
  <c r="W4" i="6"/>
  <c r="K4" i="6"/>
  <c r="J4" i="6"/>
  <c r="I4" i="6"/>
  <c r="H4" i="6"/>
  <c r="G4" i="6"/>
  <c r="F4" i="6"/>
  <c r="E4" i="6"/>
  <c r="D4" i="6"/>
  <c r="AH3" i="6"/>
  <c r="W3" i="6"/>
  <c r="K3" i="6"/>
  <c r="J3" i="6"/>
  <c r="I3" i="6"/>
  <c r="H3" i="6"/>
  <c r="G3" i="6"/>
  <c r="E3" i="6"/>
  <c r="W2" i="6"/>
  <c r="K2" i="6"/>
  <c r="J2" i="6"/>
  <c r="I2" i="6"/>
  <c r="H2" i="6"/>
  <c r="G2" i="6"/>
  <c r="F2" i="6"/>
  <c r="E2" i="6"/>
  <c r="D2" i="6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104" i="5"/>
  <c r="AC104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104" i="5"/>
  <c r="U104" i="5"/>
  <c r="AD102" i="5"/>
  <c r="V102" i="5"/>
  <c r="AD103" i="5"/>
  <c r="AC102" i="5"/>
  <c r="U102" i="5"/>
  <c r="AC103" i="5"/>
  <c r="F31" i="5"/>
  <c r="F32" i="5"/>
  <c r="F33" i="5"/>
  <c r="F34" i="5"/>
  <c r="G31" i="5"/>
  <c r="G32" i="5"/>
  <c r="G33" i="5"/>
  <c r="G34" i="5"/>
  <c r="J31" i="5"/>
  <c r="K31" i="5"/>
  <c r="J32" i="5"/>
  <c r="K32" i="5"/>
  <c r="J33" i="5"/>
  <c r="K33" i="5"/>
  <c r="J34" i="5"/>
  <c r="K34" i="5"/>
  <c r="AG31" i="5"/>
  <c r="F35" i="5"/>
  <c r="F36" i="5"/>
  <c r="F37" i="5"/>
  <c r="F38" i="5"/>
  <c r="G35" i="5"/>
  <c r="G36" i="5"/>
  <c r="G37" i="5"/>
  <c r="G38" i="5"/>
  <c r="J35" i="5"/>
  <c r="K35" i="5"/>
  <c r="J36" i="5"/>
  <c r="K36" i="5"/>
  <c r="J37" i="5"/>
  <c r="K37" i="5"/>
  <c r="J38" i="5"/>
  <c r="K38" i="5"/>
  <c r="AG35" i="5"/>
  <c r="F39" i="5"/>
  <c r="F40" i="5"/>
  <c r="F41" i="5"/>
  <c r="F42" i="5"/>
  <c r="G39" i="5"/>
  <c r="G40" i="5"/>
  <c r="G41" i="5"/>
  <c r="G42" i="5"/>
  <c r="J39" i="5"/>
  <c r="K39" i="5"/>
  <c r="J40" i="5"/>
  <c r="K40" i="5"/>
  <c r="J41" i="5"/>
  <c r="K41" i="5"/>
  <c r="J42" i="5"/>
  <c r="K42" i="5"/>
  <c r="AG39" i="5"/>
  <c r="F43" i="5"/>
  <c r="F44" i="5"/>
  <c r="F45" i="5"/>
  <c r="F46" i="5"/>
  <c r="G43" i="5"/>
  <c r="G44" i="5"/>
  <c r="G45" i="5"/>
  <c r="G46" i="5"/>
  <c r="J43" i="5"/>
  <c r="K43" i="5"/>
  <c r="J44" i="5"/>
  <c r="K44" i="5"/>
  <c r="J45" i="5"/>
  <c r="K45" i="5"/>
  <c r="J46" i="5"/>
  <c r="K46" i="5"/>
  <c r="AG43" i="5"/>
  <c r="F47" i="5"/>
  <c r="F48" i="5"/>
  <c r="F49" i="5"/>
  <c r="F50" i="5"/>
  <c r="G47" i="5"/>
  <c r="G48" i="5"/>
  <c r="G49" i="5"/>
  <c r="G50" i="5"/>
  <c r="J47" i="5"/>
  <c r="K47" i="5"/>
  <c r="J48" i="5"/>
  <c r="K48" i="5"/>
  <c r="J49" i="5"/>
  <c r="K49" i="5"/>
  <c r="J50" i="5"/>
  <c r="K50" i="5"/>
  <c r="AG47" i="5"/>
  <c r="F51" i="5"/>
  <c r="F52" i="5"/>
  <c r="F53" i="5"/>
  <c r="F54" i="5"/>
  <c r="G51" i="5"/>
  <c r="G52" i="5"/>
  <c r="G53" i="5"/>
  <c r="G54" i="5"/>
  <c r="J51" i="5"/>
  <c r="K51" i="5"/>
  <c r="J52" i="5"/>
  <c r="K52" i="5"/>
  <c r="J53" i="5"/>
  <c r="K53" i="5"/>
  <c r="J54" i="5"/>
  <c r="K54" i="5"/>
  <c r="AG51" i="5"/>
  <c r="F59" i="5"/>
  <c r="F60" i="5"/>
  <c r="F61" i="5"/>
  <c r="F62" i="5"/>
  <c r="G59" i="5"/>
  <c r="G60" i="5"/>
  <c r="G61" i="5"/>
  <c r="G62" i="5"/>
  <c r="J59" i="5"/>
  <c r="K59" i="5"/>
  <c r="J60" i="5"/>
  <c r="K60" i="5"/>
  <c r="J61" i="5"/>
  <c r="K61" i="5"/>
  <c r="J62" i="5"/>
  <c r="K62" i="5"/>
  <c r="AG59" i="5"/>
  <c r="F55" i="5"/>
  <c r="F56" i="5"/>
  <c r="F57" i="5"/>
  <c r="F58" i="5"/>
  <c r="G55" i="5"/>
  <c r="G56" i="5"/>
  <c r="G57" i="5"/>
  <c r="G58" i="5"/>
  <c r="J55" i="5"/>
  <c r="K55" i="5"/>
  <c r="J56" i="5"/>
  <c r="K56" i="5"/>
  <c r="J57" i="5"/>
  <c r="K57" i="5"/>
  <c r="J58" i="5"/>
  <c r="K58" i="5"/>
  <c r="AG55" i="5"/>
  <c r="F63" i="5"/>
  <c r="F64" i="5"/>
  <c r="F65" i="5"/>
  <c r="F66" i="5"/>
  <c r="G63" i="5"/>
  <c r="G64" i="5"/>
  <c r="G65" i="5"/>
  <c r="G66" i="5"/>
  <c r="J63" i="5"/>
  <c r="K63" i="5"/>
  <c r="J64" i="5"/>
  <c r="K64" i="5"/>
  <c r="J65" i="5"/>
  <c r="K65" i="5"/>
  <c r="J66" i="5"/>
  <c r="K66" i="5"/>
  <c r="AG63" i="5"/>
  <c r="F67" i="5"/>
  <c r="F68" i="5"/>
  <c r="F69" i="5"/>
  <c r="F70" i="5"/>
  <c r="G67" i="5"/>
  <c r="G68" i="5"/>
  <c r="G69" i="5"/>
  <c r="G70" i="5"/>
  <c r="J67" i="5"/>
  <c r="K67" i="5"/>
  <c r="J68" i="5"/>
  <c r="K68" i="5"/>
  <c r="J69" i="5"/>
  <c r="K69" i="5"/>
  <c r="J70" i="5"/>
  <c r="K70" i="5"/>
  <c r="AG67" i="5"/>
  <c r="F71" i="5"/>
  <c r="F72" i="5"/>
  <c r="F73" i="5"/>
  <c r="F74" i="5"/>
  <c r="G71" i="5"/>
  <c r="G72" i="5"/>
  <c r="G73" i="5"/>
  <c r="G74" i="5"/>
  <c r="J71" i="5"/>
  <c r="K71" i="5"/>
  <c r="J72" i="5"/>
  <c r="K72" i="5"/>
  <c r="J73" i="5"/>
  <c r="K73" i="5"/>
  <c r="J74" i="5"/>
  <c r="K74" i="5"/>
  <c r="AG71" i="5"/>
  <c r="AG101" i="5"/>
  <c r="D31" i="5"/>
  <c r="D32" i="5"/>
  <c r="D33" i="5"/>
  <c r="D34" i="5"/>
  <c r="E31" i="5"/>
  <c r="E32" i="5"/>
  <c r="E33" i="5"/>
  <c r="E34" i="5"/>
  <c r="H31" i="5"/>
  <c r="I31" i="5"/>
  <c r="H32" i="5"/>
  <c r="I32" i="5"/>
  <c r="H33" i="5"/>
  <c r="I33" i="5"/>
  <c r="H34" i="5"/>
  <c r="I34" i="5"/>
  <c r="AF31" i="5"/>
  <c r="D35" i="5"/>
  <c r="D36" i="5"/>
  <c r="D37" i="5"/>
  <c r="D38" i="5"/>
  <c r="E35" i="5"/>
  <c r="E36" i="5"/>
  <c r="E37" i="5"/>
  <c r="E38" i="5"/>
  <c r="H35" i="5"/>
  <c r="I35" i="5"/>
  <c r="H36" i="5"/>
  <c r="I36" i="5"/>
  <c r="H37" i="5"/>
  <c r="I37" i="5"/>
  <c r="H38" i="5"/>
  <c r="I38" i="5"/>
  <c r="AF35" i="5"/>
  <c r="D39" i="5"/>
  <c r="D40" i="5"/>
  <c r="D41" i="5"/>
  <c r="D42" i="5"/>
  <c r="E39" i="5"/>
  <c r="E40" i="5"/>
  <c r="E41" i="5"/>
  <c r="E42" i="5"/>
  <c r="H39" i="5"/>
  <c r="I39" i="5"/>
  <c r="H40" i="5"/>
  <c r="I40" i="5"/>
  <c r="H41" i="5"/>
  <c r="I41" i="5"/>
  <c r="H42" i="5"/>
  <c r="I42" i="5"/>
  <c r="AF39" i="5"/>
  <c r="D43" i="5"/>
  <c r="D44" i="5"/>
  <c r="D45" i="5"/>
  <c r="D46" i="5"/>
  <c r="E43" i="5"/>
  <c r="E44" i="5"/>
  <c r="E45" i="5"/>
  <c r="E46" i="5"/>
  <c r="H43" i="5"/>
  <c r="I43" i="5"/>
  <c r="H44" i="5"/>
  <c r="I44" i="5"/>
  <c r="H45" i="5"/>
  <c r="I45" i="5"/>
  <c r="H46" i="5"/>
  <c r="I46" i="5"/>
  <c r="AF43" i="5"/>
  <c r="D47" i="5"/>
  <c r="D48" i="5"/>
  <c r="D49" i="5"/>
  <c r="D50" i="5"/>
  <c r="E47" i="5"/>
  <c r="E48" i="5"/>
  <c r="E49" i="5"/>
  <c r="E50" i="5"/>
  <c r="H47" i="5"/>
  <c r="I47" i="5"/>
  <c r="H48" i="5"/>
  <c r="I48" i="5"/>
  <c r="H49" i="5"/>
  <c r="I49" i="5"/>
  <c r="H50" i="5"/>
  <c r="I50" i="5"/>
  <c r="AF47" i="5"/>
  <c r="D51" i="5"/>
  <c r="D52" i="5"/>
  <c r="D53" i="5"/>
  <c r="D54" i="5"/>
  <c r="E51" i="5"/>
  <c r="E52" i="5"/>
  <c r="E53" i="5"/>
  <c r="E54" i="5"/>
  <c r="H51" i="5"/>
  <c r="I51" i="5"/>
  <c r="H52" i="5"/>
  <c r="I52" i="5"/>
  <c r="H53" i="5"/>
  <c r="I53" i="5"/>
  <c r="H54" i="5"/>
  <c r="I54" i="5"/>
  <c r="AF51" i="5"/>
  <c r="D59" i="5"/>
  <c r="D60" i="5"/>
  <c r="D61" i="5"/>
  <c r="D62" i="5"/>
  <c r="E59" i="5"/>
  <c r="E60" i="5"/>
  <c r="E61" i="5"/>
  <c r="E62" i="5"/>
  <c r="H59" i="5"/>
  <c r="I59" i="5"/>
  <c r="H60" i="5"/>
  <c r="I60" i="5"/>
  <c r="H61" i="5"/>
  <c r="I61" i="5"/>
  <c r="H62" i="5"/>
  <c r="I62" i="5"/>
  <c r="AF59" i="5"/>
  <c r="D55" i="5"/>
  <c r="D56" i="5"/>
  <c r="D57" i="5"/>
  <c r="D58" i="5"/>
  <c r="E55" i="5"/>
  <c r="E56" i="5"/>
  <c r="E57" i="5"/>
  <c r="E58" i="5"/>
  <c r="H55" i="5"/>
  <c r="I55" i="5"/>
  <c r="H56" i="5"/>
  <c r="I56" i="5"/>
  <c r="H57" i="5"/>
  <c r="I57" i="5"/>
  <c r="H58" i="5"/>
  <c r="I58" i="5"/>
  <c r="AF55" i="5"/>
  <c r="D63" i="5"/>
  <c r="D64" i="5"/>
  <c r="D65" i="5"/>
  <c r="D66" i="5"/>
  <c r="E63" i="5"/>
  <c r="E64" i="5"/>
  <c r="E65" i="5"/>
  <c r="E66" i="5"/>
  <c r="H63" i="5"/>
  <c r="I63" i="5"/>
  <c r="H64" i="5"/>
  <c r="I64" i="5"/>
  <c r="H65" i="5"/>
  <c r="I65" i="5"/>
  <c r="H66" i="5"/>
  <c r="I66" i="5"/>
  <c r="AF63" i="5"/>
  <c r="D67" i="5"/>
  <c r="D68" i="5"/>
  <c r="D69" i="5"/>
  <c r="D70" i="5"/>
  <c r="E67" i="5"/>
  <c r="E68" i="5"/>
  <c r="E69" i="5"/>
  <c r="E70" i="5"/>
  <c r="H67" i="5"/>
  <c r="I67" i="5"/>
  <c r="H68" i="5"/>
  <c r="I68" i="5"/>
  <c r="H69" i="5"/>
  <c r="I69" i="5"/>
  <c r="H70" i="5"/>
  <c r="I70" i="5"/>
  <c r="AF67" i="5"/>
  <c r="D71" i="5"/>
  <c r="D72" i="5"/>
  <c r="D73" i="5"/>
  <c r="D74" i="5"/>
  <c r="E71" i="5"/>
  <c r="E72" i="5"/>
  <c r="E73" i="5"/>
  <c r="E74" i="5"/>
  <c r="H71" i="5"/>
  <c r="I71" i="5"/>
  <c r="H72" i="5"/>
  <c r="I72" i="5"/>
  <c r="H73" i="5"/>
  <c r="I73" i="5"/>
  <c r="H74" i="5"/>
  <c r="I74" i="5"/>
  <c r="AF71" i="5"/>
  <c r="AF101" i="5"/>
  <c r="AE31" i="5"/>
  <c r="AE35" i="5"/>
  <c r="AE39" i="5"/>
  <c r="AE43" i="5"/>
  <c r="AE47" i="5"/>
  <c r="AE51" i="5"/>
  <c r="AE59" i="5"/>
  <c r="AE55" i="5"/>
  <c r="AE63" i="5"/>
  <c r="AE67" i="5"/>
  <c r="AE71" i="5"/>
  <c r="AE101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100" i="5"/>
  <c r="AC100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100" i="5"/>
  <c r="U100" i="5"/>
  <c r="AD98" i="5"/>
  <c r="V98" i="5"/>
  <c r="AD99" i="5"/>
  <c r="AC98" i="5"/>
  <c r="U98" i="5"/>
  <c r="AC99" i="5"/>
  <c r="F3" i="5"/>
  <c r="AG3" i="5"/>
  <c r="AG97" i="5"/>
  <c r="D3" i="5"/>
  <c r="AF3" i="5"/>
  <c r="AF97" i="5"/>
  <c r="AE3" i="5"/>
  <c r="AE97" i="5"/>
  <c r="AG95" i="5"/>
  <c r="AF95" i="5"/>
  <c r="AE95" i="5"/>
  <c r="AG94" i="5"/>
  <c r="AF94" i="5"/>
  <c r="AE94" i="5"/>
  <c r="AG93" i="5"/>
  <c r="AF93" i="5"/>
  <c r="AE93" i="5"/>
  <c r="F11" i="5"/>
  <c r="AG11" i="5"/>
  <c r="AG92" i="5"/>
  <c r="D11" i="5"/>
  <c r="AF11" i="5"/>
  <c r="AF92" i="5"/>
  <c r="AE11" i="5"/>
  <c r="AE92" i="5"/>
  <c r="AG91" i="5"/>
  <c r="AF91" i="5"/>
  <c r="AE91" i="5"/>
  <c r="AH90" i="5"/>
  <c r="W90" i="5"/>
  <c r="AH89" i="5"/>
  <c r="W89" i="5"/>
  <c r="AH88" i="5"/>
  <c r="W88" i="5"/>
  <c r="AH87" i="5"/>
  <c r="W87" i="5"/>
  <c r="AH86" i="5"/>
  <c r="W86" i="5"/>
  <c r="AH85" i="5"/>
  <c r="W85" i="5"/>
  <c r="AH84" i="5"/>
  <c r="W84" i="5"/>
  <c r="AH83" i="5"/>
  <c r="W83" i="5"/>
  <c r="AH82" i="5"/>
  <c r="W82" i="5"/>
  <c r="AH81" i="5"/>
  <c r="W81" i="5"/>
  <c r="AH80" i="5"/>
  <c r="W80" i="5"/>
  <c r="AH79" i="5"/>
  <c r="W79" i="5"/>
  <c r="AH78" i="5"/>
  <c r="W78" i="5"/>
  <c r="AH77" i="5"/>
  <c r="W77" i="5"/>
  <c r="AH76" i="5"/>
  <c r="W76" i="5"/>
  <c r="AH75" i="5"/>
  <c r="W75" i="5"/>
  <c r="AH74" i="5"/>
  <c r="W74" i="5"/>
  <c r="AH73" i="5"/>
  <c r="W73" i="5"/>
  <c r="AH72" i="5"/>
  <c r="W72" i="5"/>
  <c r="AH71" i="5"/>
  <c r="W71" i="5"/>
  <c r="AH70" i="5"/>
  <c r="W70" i="5"/>
  <c r="AH69" i="5"/>
  <c r="W69" i="5"/>
  <c r="AH68" i="5"/>
  <c r="W68" i="5"/>
  <c r="AH67" i="5"/>
  <c r="W67" i="5"/>
  <c r="AH66" i="5"/>
  <c r="W66" i="5"/>
  <c r="AH65" i="5"/>
  <c r="W65" i="5"/>
  <c r="AH64" i="5"/>
  <c r="W64" i="5"/>
  <c r="AH63" i="5"/>
  <c r="W63" i="5"/>
  <c r="AH62" i="5"/>
  <c r="W62" i="5"/>
  <c r="AH61" i="5"/>
  <c r="W61" i="5"/>
  <c r="AH60" i="5"/>
  <c r="W60" i="5"/>
  <c r="AH59" i="5"/>
  <c r="W59" i="5"/>
  <c r="AH58" i="5"/>
  <c r="W58" i="5"/>
  <c r="AH57" i="5"/>
  <c r="W57" i="5"/>
  <c r="AH56" i="5"/>
  <c r="W56" i="5"/>
  <c r="AH55" i="5"/>
  <c r="W55" i="5"/>
  <c r="AH54" i="5"/>
  <c r="W54" i="5"/>
  <c r="AH53" i="5"/>
  <c r="W53" i="5"/>
  <c r="AH52" i="5"/>
  <c r="W52" i="5"/>
  <c r="AH51" i="5"/>
  <c r="W51" i="5"/>
  <c r="AH50" i="5"/>
  <c r="W50" i="5"/>
  <c r="AH49" i="5"/>
  <c r="W49" i="5"/>
  <c r="AH48" i="5"/>
  <c r="W48" i="5"/>
  <c r="AH47" i="5"/>
  <c r="W47" i="5"/>
  <c r="AH46" i="5"/>
  <c r="W46" i="5"/>
  <c r="AH45" i="5"/>
  <c r="W45" i="5"/>
  <c r="AH44" i="5"/>
  <c r="W44" i="5"/>
  <c r="AH43" i="5"/>
  <c r="W43" i="5"/>
  <c r="AH42" i="5"/>
  <c r="W42" i="5"/>
  <c r="AH41" i="5"/>
  <c r="W41" i="5"/>
  <c r="AH40" i="5"/>
  <c r="W40" i="5"/>
  <c r="AH39" i="5"/>
  <c r="W39" i="5"/>
  <c r="AH38" i="5"/>
  <c r="W38" i="5"/>
  <c r="AH37" i="5"/>
  <c r="W37" i="5"/>
  <c r="AH36" i="5"/>
  <c r="W36" i="5"/>
  <c r="AH35" i="5"/>
  <c r="W35" i="5"/>
  <c r="AH34" i="5"/>
  <c r="W34" i="5"/>
  <c r="AH33" i="5"/>
  <c r="W33" i="5"/>
  <c r="AH32" i="5"/>
  <c r="W32" i="5"/>
  <c r="AH31" i="5"/>
  <c r="W31" i="5"/>
  <c r="AH30" i="5"/>
  <c r="W30" i="5"/>
  <c r="K30" i="5"/>
  <c r="J30" i="5"/>
  <c r="I30" i="5"/>
  <c r="H30" i="5"/>
  <c r="G30" i="5"/>
  <c r="F30" i="5"/>
  <c r="E30" i="5"/>
  <c r="D30" i="5"/>
  <c r="AH29" i="5"/>
  <c r="W29" i="5"/>
  <c r="K29" i="5"/>
  <c r="J29" i="5"/>
  <c r="I29" i="5"/>
  <c r="H29" i="5"/>
  <c r="G29" i="5"/>
  <c r="F29" i="5"/>
  <c r="E29" i="5"/>
  <c r="D29" i="5"/>
  <c r="AH28" i="5"/>
  <c r="W28" i="5"/>
  <c r="K28" i="5"/>
  <c r="J28" i="5"/>
  <c r="I28" i="5"/>
  <c r="H28" i="5"/>
  <c r="G28" i="5"/>
  <c r="F28" i="5"/>
  <c r="E28" i="5"/>
  <c r="D28" i="5"/>
  <c r="AH27" i="5"/>
  <c r="F27" i="5"/>
  <c r="AG27" i="5"/>
  <c r="D27" i="5"/>
  <c r="AF27" i="5"/>
  <c r="AE27" i="5"/>
  <c r="W27" i="5"/>
  <c r="K27" i="5"/>
  <c r="J27" i="5"/>
  <c r="I27" i="5"/>
  <c r="H27" i="5"/>
  <c r="G27" i="5"/>
  <c r="E27" i="5"/>
  <c r="AH26" i="5"/>
  <c r="W26" i="5"/>
  <c r="K26" i="5"/>
  <c r="J26" i="5"/>
  <c r="I26" i="5"/>
  <c r="H26" i="5"/>
  <c r="G26" i="5"/>
  <c r="F26" i="5"/>
  <c r="E26" i="5"/>
  <c r="D26" i="5"/>
  <c r="AH25" i="5"/>
  <c r="W25" i="5"/>
  <c r="K25" i="5"/>
  <c r="J25" i="5"/>
  <c r="I25" i="5"/>
  <c r="H25" i="5"/>
  <c r="G25" i="5"/>
  <c r="F25" i="5"/>
  <c r="E25" i="5"/>
  <c r="D25" i="5"/>
  <c r="AH24" i="5"/>
  <c r="W24" i="5"/>
  <c r="K24" i="5"/>
  <c r="J24" i="5"/>
  <c r="I24" i="5"/>
  <c r="H24" i="5"/>
  <c r="G24" i="5"/>
  <c r="F24" i="5"/>
  <c r="E24" i="5"/>
  <c r="D24" i="5"/>
  <c r="AH23" i="5"/>
  <c r="F23" i="5"/>
  <c r="AG23" i="5"/>
  <c r="D23" i="5"/>
  <c r="AF23" i="5"/>
  <c r="AE23" i="5"/>
  <c r="W23" i="5"/>
  <c r="K23" i="5"/>
  <c r="J23" i="5"/>
  <c r="I23" i="5"/>
  <c r="H23" i="5"/>
  <c r="G23" i="5"/>
  <c r="E23" i="5"/>
  <c r="AH22" i="5"/>
  <c r="W22" i="5"/>
  <c r="K22" i="5"/>
  <c r="J22" i="5"/>
  <c r="I22" i="5"/>
  <c r="H22" i="5"/>
  <c r="G22" i="5"/>
  <c r="F22" i="5"/>
  <c r="E22" i="5"/>
  <c r="D22" i="5"/>
  <c r="AH21" i="5"/>
  <c r="W21" i="5"/>
  <c r="K21" i="5"/>
  <c r="J21" i="5"/>
  <c r="I21" i="5"/>
  <c r="H21" i="5"/>
  <c r="G21" i="5"/>
  <c r="F21" i="5"/>
  <c r="E21" i="5"/>
  <c r="D21" i="5"/>
  <c r="AH20" i="5"/>
  <c r="W20" i="5"/>
  <c r="K20" i="5"/>
  <c r="J20" i="5"/>
  <c r="I20" i="5"/>
  <c r="H20" i="5"/>
  <c r="G20" i="5"/>
  <c r="F20" i="5"/>
  <c r="E20" i="5"/>
  <c r="D20" i="5"/>
  <c r="AH19" i="5"/>
  <c r="F19" i="5"/>
  <c r="AG19" i="5"/>
  <c r="D19" i="5"/>
  <c r="AF19" i="5"/>
  <c r="AE19" i="5"/>
  <c r="W19" i="5"/>
  <c r="K19" i="5"/>
  <c r="J19" i="5"/>
  <c r="I19" i="5"/>
  <c r="H19" i="5"/>
  <c r="G19" i="5"/>
  <c r="E19" i="5"/>
  <c r="AH18" i="5"/>
  <c r="W18" i="5"/>
  <c r="K18" i="5"/>
  <c r="J18" i="5"/>
  <c r="I18" i="5"/>
  <c r="H18" i="5"/>
  <c r="G18" i="5"/>
  <c r="F18" i="5"/>
  <c r="E18" i="5"/>
  <c r="D18" i="5"/>
  <c r="AH17" i="5"/>
  <c r="W17" i="5"/>
  <c r="K17" i="5"/>
  <c r="J17" i="5"/>
  <c r="I17" i="5"/>
  <c r="H17" i="5"/>
  <c r="G17" i="5"/>
  <c r="F17" i="5"/>
  <c r="E17" i="5"/>
  <c r="D17" i="5"/>
  <c r="AH16" i="5"/>
  <c r="W16" i="5"/>
  <c r="K16" i="5"/>
  <c r="J16" i="5"/>
  <c r="I16" i="5"/>
  <c r="H16" i="5"/>
  <c r="G16" i="5"/>
  <c r="F16" i="5"/>
  <c r="E16" i="5"/>
  <c r="D16" i="5"/>
  <c r="AH15" i="5"/>
  <c r="F15" i="5"/>
  <c r="AG15" i="5"/>
  <c r="D15" i="5"/>
  <c r="AF15" i="5"/>
  <c r="AE15" i="5"/>
  <c r="W15" i="5"/>
  <c r="K15" i="5"/>
  <c r="J15" i="5"/>
  <c r="I15" i="5"/>
  <c r="H15" i="5"/>
  <c r="G15" i="5"/>
  <c r="E15" i="5"/>
  <c r="AH14" i="5"/>
  <c r="W14" i="5"/>
  <c r="K14" i="5"/>
  <c r="J14" i="5"/>
  <c r="I14" i="5"/>
  <c r="H14" i="5"/>
  <c r="G14" i="5"/>
  <c r="F14" i="5"/>
  <c r="E14" i="5"/>
  <c r="D14" i="5"/>
  <c r="AH13" i="5"/>
  <c r="W13" i="5"/>
  <c r="K13" i="5"/>
  <c r="J13" i="5"/>
  <c r="I13" i="5"/>
  <c r="H13" i="5"/>
  <c r="G13" i="5"/>
  <c r="F13" i="5"/>
  <c r="E13" i="5"/>
  <c r="D13" i="5"/>
  <c r="AH12" i="5"/>
  <c r="W12" i="5"/>
  <c r="K12" i="5"/>
  <c r="J12" i="5"/>
  <c r="I12" i="5"/>
  <c r="H12" i="5"/>
  <c r="G12" i="5"/>
  <c r="F12" i="5"/>
  <c r="E12" i="5"/>
  <c r="D12" i="5"/>
  <c r="AH11" i="5"/>
  <c r="W11" i="5"/>
  <c r="K11" i="5"/>
  <c r="J11" i="5"/>
  <c r="I11" i="5"/>
  <c r="H11" i="5"/>
  <c r="G11" i="5"/>
  <c r="E11" i="5"/>
  <c r="AH10" i="5"/>
  <c r="W10" i="5"/>
  <c r="K10" i="5"/>
  <c r="J10" i="5"/>
  <c r="I10" i="5"/>
  <c r="H10" i="5"/>
  <c r="G10" i="5"/>
  <c r="F10" i="5"/>
  <c r="E10" i="5"/>
  <c r="D10" i="5"/>
  <c r="AH9" i="5"/>
  <c r="W9" i="5"/>
  <c r="K9" i="5"/>
  <c r="J9" i="5"/>
  <c r="I9" i="5"/>
  <c r="H9" i="5"/>
  <c r="G9" i="5"/>
  <c r="F9" i="5"/>
  <c r="E9" i="5"/>
  <c r="D9" i="5"/>
  <c r="AH8" i="5"/>
  <c r="W8" i="5"/>
  <c r="K8" i="5"/>
  <c r="J8" i="5"/>
  <c r="I8" i="5"/>
  <c r="H8" i="5"/>
  <c r="G8" i="5"/>
  <c r="F8" i="5"/>
  <c r="E8" i="5"/>
  <c r="D8" i="5"/>
  <c r="AH7" i="5"/>
  <c r="F7" i="5"/>
  <c r="AG7" i="5"/>
  <c r="D7" i="5"/>
  <c r="AF7" i="5"/>
  <c r="AE7" i="5"/>
  <c r="W7" i="5"/>
  <c r="K7" i="5"/>
  <c r="J7" i="5"/>
  <c r="I7" i="5"/>
  <c r="H7" i="5"/>
  <c r="G7" i="5"/>
  <c r="E7" i="5"/>
  <c r="AH6" i="5"/>
  <c r="W6" i="5"/>
  <c r="K6" i="5"/>
  <c r="J6" i="5"/>
  <c r="I6" i="5"/>
  <c r="H6" i="5"/>
  <c r="G6" i="5"/>
  <c r="F6" i="5"/>
  <c r="E6" i="5"/>
  <c r="D6" i="5"/>
  <c r="AH5" i="5"/>
  <c r="W5" i="5"/>
  <c r="K5" i="5"/>
  <c r="J5" i="5"/>
  <c r="I5" i="5"/>
  <c r="H5" i="5"/>
  <c r="G5" i="5"/>
  <c r="F5" i="5"/>
  <c r="E5" i="5"/>
  <c r="D5" i="5"/>
  <c r="AH4" i="5"/>
  <c r="W4" i="5"/>
  <c r="K4" i="5"/>
  <c r="J4" i="5"/>
  <c r="I4" i="5"/>
  <c r="H4" i="5"/>
  <c r="G4" i="5"/>
  <c r="F4" i="5"/>
  <c r="E4" i="5"/>
  <c r="D4" i="5"/>
  <c r="AH3" i="5"/>
  <c r="W3" i="5"/>
  <c r="K3" i="5"/>
  <c r="J3" i="5"/>
  <c r="I3" i="5"/>
  <c r="H3" i="5"/>
  <c r="G3" i="5"/>
  <c r="E3" i="5"/>
  <c r="W2" i="5"/>
  <c r="K2" i="5"/>
  <c r="J2" i="5"/>
  <c r="I2" i="5"/>
  <c r="H2" i="5"/>
  <c r="G2" i="5"/>
  <c r="F2" i="5"/>
  <c r="E2" i="5"/>
  <c r="D2" i="5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104" i="4"/>
  <c r="AC104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104" i="4"/>
  <c r="U104" i="4"/>
  <c r="AD102" i="4"/>
  <c r="V102" i="4"/>
  <c r="AD103" i="4"/>
  <c r="AC102" i="4"/>
  <c r="U102" i="4"/>
  <c r="AC103" i="4"/>
  <c r="F31" i="4"/>
  <c r="F32" i="4"/>
  <c r="F33" i="4"/>
  <c r="F34" i="4"/>
  <c r="G31" i="4"/>
  <c r="G32" i="4"/>
  <c r="G33" i="4"/>
  <c r="G34" i="4"/>
  <c r="J31" i="4"/>
  <c r="K31" i="4"/>
  <c r="J32" i="4"/>
  <c r="K32" i="4"/>
  <c r="J33" i="4"/>
  <c r="K33" i="4"/>
  <c r="J34" i="4"/>
  <c r="K34" i="4"/>
  <c r="AG31" i="4"/>
  <c r="F35" i="4"/>
  <c r="F36" i="4"/>
  <c r="F37" i="4"/>
  <c r="F38" i="4"/>
  <c r="G35" i="4"/>
  <c r="G36" i="4"/>
  <c r="G37" i="4"/>
  <c r="G38" i="4"/>
  <c r="J35" i="4"/>
  <c r="K35" i="4"/>
  <c r="J36" i="4"/>
  <c r="K36" i="4"/>
  <c r="J37" i="4"/>
  <c r="K37" i="4"/>
  <c r="J38" i="4"/>
  <c r="K38" i="4"/>
  <c r="AG35" i="4"/>
  <c r="F39" i="4"/>
  <c r="F40" i="4"/>
  <c r="F41" i="4"/>
  <c r="F42" i="4"/>
  <c r="G39" i="4"/>
  <c r="G40" i="4"/>
  <c r="G41" i="4"/>
  <c r="G42" i="4"/>
  <c r="J39" i="4"/>
  <c r="K39" i="4"/>
  <c r="J40" i="4"/>
  <c r="K40" i="4"/>
  <c r="J41" i="4"/>
  <c r="K41" i="4"/>
  <c r="J42" i="4"/>
  <c r="K42" i="4"/>
  <c r="AG39" i="4"/>
  <c r="F43" i="4"/>
  <c r="F44" i="4"/>
  <c r="F45" i="4"/>
  <c r="F46" i="4"/>
  <c r="G43" i="4"/>
  <c r="G44" i="4"/>
  <c r="G45" i="4"/>
  <c r="G46" i="4"/>
  <c r="J43" i="4"/>
  <c r="K43" i="4"/>
  <c r="J44" i="4"/>
  <c r="K44" i="4"/>
  <c r="J45" i="4"/>
  <c r="K45" i="4"/>
  <c r="J46" i="4"/>
  <c r="K46" i="4"/>
  <c r="AG43" i="4"/>
  <c r="F47" i="4"/>
  <c r="F48" i="4"/>
  <c r="F49" i="4"/>
  <c r="F50" i="4"/>
  <c r="G47" i="4"/>
  <c r="G48" i="4"/>
  <c r="G49" i="4"/>
  <c r="G50" i="4"/>
  <c r="J47" i="4"/>
  <c r="K47" i="4"/>
  <c r="J48" i="4"/>
  <c r="K48" i="4"/>
  <c r="J49" i="4"/>
  <c r="K49" i="4"/>
  <c r="J50" i="4"/>
  <c r="K50" i="4"/>
  <c r="AG47" i="4"/>
  <c r="F51" i="4"/>
  <c r="F52" i="4"/>
  <c r="F53" i="4"/>
  <c r="F54" i="4"/>
  <c r="G51" i="4"/>
  <c r="G52" i="4"/>
  <c r="G53" i="4"/>
  <c r="G54" i="4"/>
  <c r="J51" i="4"/>
  <c r="K51" i="4"/>
  <c r="J52" i="4"/>
  <c r="K52" i="4"/>
  <c r="J53" i="4"/>
  <c r="K53" i="4"/>
  <c r="J54" i="4"/>
  <c r="K54" i="4"/>
  <c r="AG51" i="4"/>
  <c r="F59" i="4"/>
  <c r="F60" i="4"/>
  <c r="F61" i="4"/>
  <c r="F62" i="4"/>
  <c r="G59" i="4"/>
  <c r="G60" i="4"/>
  <c r="G61" i="4"/>
  <c r="G62" i="4"/>
  <c r="J59" i="4"/>
  <c r="K59" i="4"/>
  <c r="J60" i="4"/>
  <c r="K60" i="4"/>
  <c r="J61" i="4"/>
  <c r="K61" i="4"/>
  <c r="J62" i="4"/>
  <c r="K62" i="4"/>
  <c r="AG59" i="4"/>
  <c r="F55" i="4"/>
  <c r="F56" i="4"/>
  <c r="F57" i="4"/>
  <c r="F58" i="4"/>
  <c r="G55" i="4"/>
  <c r="G56" i="4"/>
  <c r="G57" i="4"/>
  <c r="G58" i="4"/>
  <c r="J55" i="4"/>
  <c r="K55" i="4"/>
  <c r="J56" i="4"/>
  <c r="K56" i="4"/>
  <c r="J57" i="4"/>
  <c r="K57" i="4"/>
  <c r="J58" i="4"/>
  <c r="K58" i="4"/>
  <c r="AG55" i="4"/>
  <c r="F63" i="4"/>
  <c r="F64" i="4"/>
  <c r="F65" i="4"/>
  <c r="F66" i="4"/>
  <c r="G63" i="4"/>
  <c r="G64" i="4"/>
  <c r="G65" i="4"/>
  <c r="G66" i="4"/>
  <c r="J63" i="4"/>
  <c r="K63" i="4"/>
  <c r="J64" i="4"/>
  <c r="K64" i="4"/>
  <c r="J65" i="4"/>
  <c r="K65" i="4"/>
  <c r="J66" i="4"/>
  <c r="K66" i="4"/>
  <c r="AG63" i="4"/>
  <c r="F67" i="4"/>
  <c r="F68" i="4"/>
  <c r="F69" i="4"/>
  <c r="F70" i="4"/>
  <c r="G67" i="4"/>
  <c r="G68" i="4"/>
  <c r="G69" i="4"/>
  <c r="G70" i="4"/>
  <c r="J67" i="4"/>
  <c r="K67" i="4"/>
  <c r="J68" i="4"/>
  <c r="K68" i="4"/>
  <c r="J69" i="4"/>
  <c r="K69" i="4"/>
  <c r="J70" i="4"/>
  <c r="K70" i="4"/>
  <c r="AG67" i="4"/>
  <c r="F71" i="4"/>
  <c r="F72" i="4"/>
  <c r="F73" i="4"/>
  <c r="F74" i="4"/>
  <c r="G71" i="4"/>
  <c r="G72" i="4"/>
  <c r="G73" i="4"/>
  <c r="G74" i="4"/>
  <c r="J71" i="4"/>
  <c r="K71" i="4"/>
  <c r="J72" i="4"/>
  <c r="K72" i="4"/>
  <c r="J73" i="4"/>
  <c r="K73" i="4"/>
  <c r="J74" i="4"/>
  <c r="K74" i="4"/>
  <c r="AG71" i="4"/>
  <c r="AG101" i="4"/>
  <c r="D31" i="4"/>
  <c r="D32" i="4"/>
  <c r="D33" i="4"/>
  <c r="D34" i="4"/>
  <c r="E31" i="4"/>
  <c r="E32" i="4"/>
  <c r="E33" i="4"/>
  <c r="E34" i="4"/>
  <c r="H31" i="4"/>
  <c r="I31" i="4"/>
  <c r="H32" i="4"/>
  <c r="I32" i="4"/>
  <c r="H33" i="4"/>
  <c r="I33" i="4"/>
  <c r="H34" i="4"/>
  <c r="I34" i="4"/>
  <c r="AF31" i="4"/>
  <c r="D35" i="4"/>
  <c r="D36" i="4"/>
  <c r="D37" i="4"/>
  <c r="D38" i="4"/>
  <c r="E35" i="4"/>
  <c r="E36" i="4"/>
  <c r="E37" i="4"/>
  <c r="E38" i="4"/>
  <c r="H35" i="4"/>
  <c r="I35" i="4"/>
  <c r="H36" i="4"/>
  <c r="I36" i="4"/>
  <c r="H37" i="4"/>
  <c r="I37" i="4"/>
  <c r="H38" i="4"/>
  <c r="I38" i="4"/>
  <c r="AF35" i="4"/>
  <c r="D39" i="4"/>
  <c r="D40" i="4"/>
  <c r="D41" i="4"/>
  <c r="D42" i="4"/>
  <c r="E39" i="4"/>
  <c r="E40" i="4"/>
  <c r="E41" i="4"/>
  <c r="E42" i="4"/>
  <c r="H39" i="4"/>
  <c r="I39" i="4"/>
  <c r="H40" i="4"/>
  <c r="I40" i="4"/>
  <c r="H41" i="4"/>
  <c r="I41" i="4"/>
  <c r="H42" i="4"/>
  <c r="I42" i="4"/>
  <c r="AF39" i="4"/>
  <c r="D43" i="4"/>
  <c r="D44" i="4"/>
  <c r="D45" i="4"/>
  <c r="D46" i="4"/>
  <c r="E43" i="4"/>
  <c r="E44" i="4"/>
  <c r="E45" i="4"/>
  <c r="E46" i="4"/>
  <c r="H43" i="4"/>
  <c r="I43" i="4"/>
  <c r="H44" i="4"/>
  <c r="I44" i="4"/>
  <c r="H45" i="4"/>
  <c r="I45" i="4"/>
  <c r="H46" i="4"/>
  <c r="I46" i="4"/>
  <c r="AF43" i="4"/>
  <c r="D47" i="4"/>
  <c r="D48" i="4"/>
  <c r="D49" i="4"/>
  <c r="D50" i="4"/>
  <c r="E47" i="4"/>
  <c r="E48" i="4"/>
  <c r="E49" i="4"/>
  <c r="E50" i="4"/>
  <c r="H47" i="4"/>
  <c r="I47" i="4"/>
  <c r="H48" i="4"/>
  <c r="I48" i="4"/>
  <c r="H49" i="4"/>
  <c r="I49" i="4"/>
  <c r="H50" i="4"/>
  <c r="I50" i="4"/>
  <c r="AF47" i="4"/>
  <c r="D51" i="4"/>
  <c r="D52" i="4"/>
  <c r="D53" i="4"/>
  <c r="D54" i="4"/>
  <c r="E51" i="4"/>
  <c r="E52" i="4"/>
  <c r="E53" i="4"/>
  <c r="E54" i="4"/>
  <c r="H51" i="4"/>
  <c r="I51" i="4"/>
  <c r="H52" i="4"/>
  <c r="I52" i="4"/>
  <c r="H53" i="4"/>
  <c r="I53" i="4"/>
  <c r="H54" i="4"/>
  <c r="I54" i="4"/>
  <c r="AF51" i="4"/>
  <c r="D59" i="4"/>
  <c r="D60" i="4"/>
  <c r="D61" i="4"/>
  <c r="D62" i="4"/>
  <c r="E59" i="4"/>
  <c r="E60" i="4"/>
  <c r="E61" i="4"/>
  <c r="E62" i="4"/>
  <c r="H59" i="4"/>
  <c r="I59" i="4"/>
  <c r="H60" i="4"/>
  <c r="I60" i="4"/>
  <c r="H61" i="4"/>
  <c r="I61" i="4"/>
  <c r="H62" i="4"/>
  <c r="I62" i="4"/>
  <c r="AF59" i="4"/>
  <c r="D55" i="4"/>
  <c r="D56" i="4"/>
  <c r="D57" i="4"/>
  <c r="D58" i="4"/>
  <c r="E55" i="4"/>
  <c r="E56" i="4"/>
  <c r="E57" i="4"/>
  <c r="E58" i="4"/>
  <c r="H55" i="4"/>
  <c r="I55" i="4"/>
  <c r="H56" i="4"/>
  <c r="I56" i="4"/>
  <c r="H57" i="4"/>
  <c r="I57" i="4"/>
  <c r="H58" i="4"/>
  <c r="I58" i="4"/>
  <c r="AF55" i="4"/>
  <c r="D63" i="4"/>
  <c r="D64" i="4"/>
  <c r="D65" i="4"/>
  <c r="D66" i="4"/>
  <c r="E63" i="4"/>
  <c r="E64" i="4"/>
  <c r="E65" i="4"/>
  <c r="E66" i="4"/>
  <c r="H63" i="4"/>
  <c r="I63" i="4"/>
  <c r="H64" i="4"/>
  <c r="I64" i="4"/>
  <c r="H65" i="4"/>
  <c r="I65" i="4"/>
  <c r="H66" i="4"/>
  <c r="I66" i="4"/>
  <c r="AF63" i="4"/>
  <c r="D67" i="4"/>
  <c r="D68" i="4"/>
  <c r="D69" i="4"/>
  <c r="D70" i="4"/>
  <c r="E67" i="4"/>
  <c r="E68" i="4"/>
  <c r="E69" i="4"/>
  <c r="E70" i="4"/>
  <c r="H67" i="4"/>
  <c r="I67" i="4"/>
  <c r="H68" i="4"/>
  <c r="I68" i="4"/>
  <c r="H69" i="4"/>
  <c r="I69" i="4"/>
  <c r="H70" i="4"/>
  <c r="I70" i="4"/>
  <c r="AF67" i="4"/>
  <c r="D71" i="4"/>
  <c r="D72" i="4"/>
  <c r="D73" i="4"/>
  <c r="D74" i="4"/>
  <c r="E71" i="4"/>
  <c r="E72" i="4"/>
  <c r="E73" i="4"/>
  <c r="E74" i="4"/>
  <c r="H71" i="4"/>
  <c r="I71" i="4"/>
  <c r="H72" i="4"/>
  <c r="I72" i="4"/>
  <c r="H73" i="4"/>
  <c r="I73" i="4"/>
  <c r="H74" i="4"/>
  <c r="I74" i="4"/>
  <c r="AF71" i="4"/>
  <c r="AF101" i="4"/>
  <c r="AE31" i="4"/>
  <c r="AE35" i="4"/>
  <c r="AE39" i="4"/>
  <c r="AE43" i="4"/>
  <c r="AE47" i="4"/>
  <c r="AE51" i="4"/>
  <c r="AE59" i="4"/>
  <c r="AE55" i="4"/>
  <c r="AE63" i="4"/>
  <c r="AE67" i="4"/>
  <c r="AE71" i="4"/>
  <c r="AE101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100" i="4"/>
  <c r="AC100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100" i="4"/>
  <c r="U100" i="4"/>
  <c r="AD98" i="4"/>
  <c r="V98" i="4"/>
  <c r="AD99" i="4"/>
  <c r="AC98" i="4"/>
  <c r="U98" i="4"/>
  <c r="AC99" i="4"/>
  <c r="F3" i="4"/>
  <c r="AG3" i="4"/>
  <c r="AG97" i="4"/>
  <c r="D3" i="4"/>
  <c r="AF3" i="4"/>
  <c r="AF97" i="4"/>
  <c r="AE3" i="4"/>
  <c r="AE97" i="4"/>
  <c r="AG95" i="4"/>
  <c r="AF95" i="4"/>
  <c r="AE95" i="4"/>
  <c r="AG94" i="4"/>
  <c r="AF94" i="4"/>
  <c r="AE94" i="4"/>
  <c r="AG93" i="4"/>
  <c r="AF93" i="4"/>
  <c r="AE93" i="4"/>
  <c r="F11" i="4"/>
  <c r="AG11" i="4"/>
  <c r="AG92" i="4"/>
  <c r="D11" i="4"/>
  <c r="AF11" i="4"/>
  <c r="AF92" i="4"/>
  <c r="AE11" i="4"/>
  <c r="AE92" i="4"/>
  <c r="AG91" i="4"/>
  <c r="AF91" i="4"/>
  <c r="AE91" i="4"/>
  <c r="AH90" i="4"/>
  <c r="W90" i="4"/>
  <c r="AH89" i="4"/>
  <c r="W89" i="4"/>
  <c r="AH88" i="4"/>
  <c r="W88" i="4"/>
  <c r="AH87" i="4"/>
  <c r="W87" i="4"/>
  <c r="AH86" i="4"/>
  <c r="W86" i="4"/>
  <c r="AH85" i="4"/>
  <c r="W85" i="4"/>
  <c r="AH84" i="4"/>
  <c r="W84" i="4"/>
  <c r="AH83" i="4"/>
  <c r="W83" i="4"/>
  <c r="AH82" i="4"/>
  <c r="W82" i="4"/>
  <c r="AH81" i="4"/>
  <c r="W81" i="4"/>
  <c r="AH80" i="4"/>
  <c r="W80" i="4"/>
  <c r="AH79" i="4"/>
  <c r="W79" i="4"/>
  <c r="AH78" i="4"/>
  <c r="W78" i="4"/>
  <c r="AH77" i="4"/>
  <c r="W77" i="4"/>
  <c r="AH76" i="4"/>
  <c r="W76" i="4"/>
  <c r="AH75" i="4"/>
  <c r="W75" i="4"/>
  <c r="AH74" i="4"/>
  <c r="W74" i="4"/>
  <c r="AH73" i="4"/>
  <c r="W73" i="4"/>
  <c r="AH72" i="4"/>
  <c r="W72" i="4"/>
  <c r="AH71" i="4"/>
  <c r="W71" i="4"/>
  <c r="AH70" i="4"/>
  <c r="W70" i="4"/>
  <c r="AH69" i="4"/>
  <c r="W69" i="4"/>
  <c r="AH68" i="4"/>
  <c r="W68" i="4"/>
  <c r="AH67" i="4"/>
  <c r="W67" i="4"/>
  <c r="AH66" i="4"/>
  <c r="W66" i="4"/>
  <c r="AH65" i="4"/>
  <c r="W65" i="4"/>
  <c r="AH64" i="4"/>
  <c r="W64" i="4"/>
  <c r="AH63" i="4"/>
  <c r="W63" i="4"/>
  <c r="AH62" i="4"/>
  <c r="W62" i="4"/>
  <c r="AH61" i="4"/>
  <c r="W61" i="4"/>
  <c r="AH60" i="4"/>
  <c r="W60" i="4"/>
  <c r="AH59" i="4"/>
  <c r="W59" i="4"/>
  <c r="AH58" i="4"/>
  <c r="W58" i="4"/>
  <c r="AH57" i="4"/>
  <c r="W57" i="4"/>
  <c r="AH56" i="4"/>
  <c r="W56" i="4"/>
  <c r="AH55" i="4"/>
  <c r="W55" i="4"/>
  <c r="AH54" i="4"/>
  <c r="W54" i="4"/>
  <c r="AH53" i="4"/>
  <c r="W53" i="4"/>
  <c r="AH52" i="4"/>
  <c r="W52" i="4"/>
  <c r="AH51" i="4"/>
  <c r="W51" i="4"/>
  <c r="AH50" i="4"/>
  <c r="W50" i="4"/>
  <c r="AH49" i="4"/>
  <c r="W49" i="4"/>
  <c r="AH48" i="4"/>
  <c r="W48" i="4"/>
  <c r="AH47" i="4"/>
  <c r="W47" i="4"/>
  <c r="AH46" i="4"/>
  <c r="W46" i="4"/>
  <c r="AH45" i="4"/>
  <c r="W45" i="4"/>
  <c r="AH44" i="4"/>
  <c r="W44" i="4"/>
  <c r="AH43" i="4"/>
  <c r="W43" i="4"/>
  <c r="AH42" i="4"/>
  <c r="W42" i="4"/>
  <c r="AH41" i="4"/>
  <c r="W41" i="4"/>
  <c r="AH40" i="4"/>
  <c r="W40" i="4"/>
  <c r="AH39" i="4"/>
  <c r="W39" i="4"/>
  <c r="AH38" i="4"/>
  <c r="W38" i="4"/>
  <c r="AH37" i="4"/>
  <c r="W37" i="4"/>
  <c r="AH36" i="4"/>
  <c r="W36" i="4"/>
  <c r="AH35" i="4"/>
  <c r="W35" i="4"/>
  <c r="AH34" i="4"/>
  <c r="W34" i="4"/>
  <c r="AH33" i="4"/>
  <c r="W33" i="4"/>
  <c r="AH32" i="4"/>
  <c r="W32" i="4"/>
  <c r="AH31" i="4"/>
  <c r="W31" i="4"/>
  <c r="AH30" i="4"/>
  <c r="W30" i="4"/>
  <c r="K30" i="4"/>
  <c r="J30" i="4"/>
  <c r="I30" i="4"/>
  <c r="H30" i="4"/>
  <c r="G30" i="4"/>
  <c r="F30" i="4"/>
  <c r="E30" i="4"/>
  <c r="D30" i="4"/>
  <c r="AH29" i="4"/>
  <c r="W29" i="4"/>
  <c r="K29" i="4"/>
  <c r="J29" i="4"/>
  <c r="I29" i="4"/>
  <c r="H29" i="4"/>
  <c r="G29" i="4"/>
  <c r="F29" i="4"/>
  <c r="E29" i="4"/>
  <c r="D29" i="4"/>
  <c r="AH28" i="4"/>
  <c r="W28" i="4"/>
  <c r="K28" i="4"/>
  <c r="J28" i="4"/>
  <c r="I28" i="4"/>
  <c r="H28" i="4"/>
  <c r="G28" i="4"/>
  <c r="F28" i="4"/>
  <c r="E28" i="4"/>
  <c r="D28" i="4"/>
  <c r="AH27" i="4"/>
  <c r="F27" i="4"/>
  <c r="AG27" i="4"/>
  <c r="D27" i="4"/>
  <c r="AF27" i="4"/>
  <c r="AE27" i="4"/>
  <c r="W27" i="4"/>
  <c r="K27" i="4"/>
  <c r="J27" i="4"/>
  <c r="I27" i="4"/>
  <c r="H27" i="4"/>
  <c r="G27" i="4"/>
  <c r="E27" i="4"/>
  <c r="AH26" i="4"/>
  <c r="W26" i="4"/>
  <c r="K26" i="4"/>
  <c r="J26" i="4"/>
  <c r="I26" i="4"/>
  <c r="H26" i="4"/>
  <c r="G26" i="4"/>
  <c r="F26" i="4"/>
  <c r="E26" i="4"/>
  <c r="D26" i="4"/>
  <c r="AH25" i="4"/>
  <c r="W25" i="4"/>
  <c r="K25" i="4"/>
  <c r="J25" i="4"/>
  <c r="I25" i="4"/>
  <c r="H25" i="4"/>
  <c r="G25" i="4"/>
  <c r="F25" i="4"/>
  <c r="E25" i="4"/>
  <c r="D25" i="4"/>
  <c r="AH24" i="4"/>
  <c r="W24" i="4"/>
  <c r="K24" i="4"/>
  <c r="J24" i="4"/>
  <c r="I24" i="4"/>
  <c r="H24" i="4"/>
  <c r="G24" i="4"/>
  <c r="F24" i="4"/>
  <c r="E24" i="4"/>
  <c r="D24" i="4"/>
  <c r="AH23" i="4"/>
  <c r="F23" i="4"/>
  <c r="AG23" i="4"/>
  <c r="D23" i="4"/>
  <c r="AF23" i="4"/>
  <c r="AE23" i="4"/>
  <c r="W23" i="4"/>
  <c r="K23" i="4"/>
  <c r="J23" i="4"/>
  <c r="I23" i="4"/>
  <c r="H23" i="4"/>
  <c r="G23" i="4"/>
  <c r="E23" i="4"/>
  <c r="AH22" i="4"/>
  <c r="W22" i="4"/>
  <c r="K22" i="4"/>
  <c r="J22" i="4"/>
  <c r="I22" i="4"/>
  <c r="H22" i="4"/>
  <c r="G22" i="4"/>
  <c r="F22" i="4"/>
  <c r="E22" i="4"/>
  <c r="D22" i="4"/>
  <c r="AH21" i="4"/>
  <c r="W21" i="4"/>
  <c r="K21" i="4"/>
  <c r="J21" i="4"/>
  <c r="I21" i="4"/>
  <c r="H21" i="4"/>
  <c r="G21" i="4"/>
  <c r="F21" i="4"/>
  <c r="E21" i="4"/>
  <c r="D21" i="4"/>
  <c r="AH20" i="4"/>
  <c r="W20" i="4"/>
  <c r="K20" i="4"/>
  <c r="J20" i="4"/>
  <c r="I20" i="4"/>
  <c r="H20" i="4"/>
  <c r="G20" i="4"/>
  <c r="F20" i="4"/>
  <c r="E20" i="4"/>
  <c r="D20" i="4"/>
  <c r="AH19" i="4"/>
  <c r="F19" i="4"/>
  <c r="AG19" i="4"/>
  <c r="D19" i="4"/>
  <c r="AF19" i="4"/>
  <c r="AE19" i="4"/>
  <c r="W19" i="4"/>
  <c r="K19" i="4"/>
  <c r="J19" i="4"/>
  <c r="I19" i="4"/>
  <c r="H19" i="4"/>
  <c r="G19" i="4"/>
  <c r="E19" i="4"/>
  <c r="AH18" i="4"/>
  <c r="W18" i="4"/>
  <c r="K18" i="4"/>
  <c r="J18" i="4"/>
  <c r="I18" i="4"/>
  <c r="H18" i="4"/>
  <c r="G18" i="4"/>
  <c r="F18" i="4"/>
  <c r="E18" i="4"/>
  <c r="D18" i="4"/>
  <c r="AH17" i="4"/>
  <c r="W17" i="4"/>
  <c r="K17" i="4"/>
  <c r="J17" i="4"/>
  <c r="I17" i="4"/>
  <c r="H17" i="4"/>
  <c r="G17" i="4"/>
  <c r="F17" i="4"/>
  <c r="E17" i="4"/>
  <c r="D17" i="4"/>
  <c r="AH16" i="4"/>
  <c r="W16" i="4"/>
  <c r="K16" i="4"/>
  <c r="J16" i="4"/>
  <c r="I16" i="4"/>
  <c r="H16" i="4"/>
  <c r="G16" i="4"/>
  <c r="F16" i="4"/>
  <c r="E16" i="4"/>
  <c r="D16" i="4"/>
  <c r="AH15" i="4"/>
  <c r="F15" i="4"/>
  <c r="AG15" i="4"/>
  <c r="D15" i="4"/>
  <c r="AF15" i="4"/>
  <c r="AE15" i="4"/>
  <c r="W15" i="4"/>
  <c r="K15" i="4"/>
  <c r="J15" i="4"/>
  <c r="I15" i="4"/>
  <c r="H15" i="4"/>
  <c r="G15" i="4"/>
  <c r="E15" i="4"/>
  <c r="AH14" i="4"/>
  <c r="W14" i="4"/>
  <c r="K14" i="4"/>
  <c r="J14" i="4"/>
  <c r="I14" i="4"/>
  <c r="H14" i="4"/>
  <c r="G14" i="4"/>
  <c r="F14" i="4"/>
  <c r="E14" i="4"/>
  <c r="D14" i="4"/>
  <c r="AH13" i="4"/>
  <c r="W13" i="4"/>
  <c r="K13" i="4"/>
  <c r="J13" i="4"/>
  <c r="I13" i="4"/>
  <c r="H13" i="4"/>
  <c r="G13" i="4"/>
  <c r="F13" i="4"/>
  <c r="E13" i="4"/>
  <c r="D13" i="4"/>
  <c r="AH12" i="4"/>
  <c r="W12" i="4"/>
  <c r="K12" i="4"/>
  <c r="J12" i="4"/>
  <c r="I12" i="4"/>
  <c r="H12" i="4"/>
  <c r="G12" i="4"/>
  <c r="F12" i="4"/>
  <c r="E12" i="4"/>
  <c r="D12" i="4"/>
  <c r="AH11" i="4"/>
  <c r="W11" i="4"/>
  <c r="K11" i="4"/>
  <c r="J11" i="4"/>
  <c r="I11" i="4"/>
  <c r="H11" i="4"/>
  <c r="G11" i="4"/>
  <c r="E11" i="4"/>
  <c r="AH10" i="4"/>
  <c r="W10" i="4"/>
  <c r="K10" i="4"/>
  <c r="J10" i="4"/>
  <c r="I10" i="4"/>
  <c r="H10" i="4"/>
  <c r="G10" i="4"/>
  <c r="F10" i="4"/>
  <c r="E10" i="4"/>
  <c r="D10" i="4"/>
  <c r="AH9" i="4"/>
  <c r="W9" i="4"/>
  <c r="K9" i="4"/>
  <c r="J9" i="4"/>
  <c r="I9" i="4"/>
  <c r="H9" i="4"/>
  <c r="G9" i="4"/>
  <c r="F9" i="4"/>
  <c r="E9" i="4"/>
  <c r="D9" i="4"/>
  <c r="AH8" i="4"/>
  <c r="W8" i="4"/>
  <c r="K8" i="4"/>
  <c r="J8" i="4"/>
  <c r="I8" i="4"/>
  <c r="H8" i="4"/>
  <c r="G8" i="4"/>
  <c r="F8" i="4"/>
  <c r="E8" i="4"/>
  <c r="D8" i="4"/>
  <c r="AH7" i="4"/>
  <c r="F7" i="4"/>
  <c r="AG7" i="4"/>
  <c r="D7" i="4"/>
  <c r="AF7" i="4"/>
  <c r="AE7" i="4"/>
  <c r="W7" i="4"/>
  <c r="K7" i="4"/>
  <c r="J7" i="4"/>
  <c r="I7" i="4"/>
  <c r="H7" i="4"/>
  <c r="G7" i="4"/>
  <c r="E7" i="4"/>
  <c r="AH6" i="4"/>
  <c r="W6" i="4"/>
  <c r="K6" i="4"/>
  <c r="J6" i="4"/>
  <c r="I6" i="4"/>
  <c r="H6" i="4"/>
  <c r="G6" i="4"/>
  <c r="F6" i="4"/>
  <c r="E6" i="4"/>
  <c r="D6" i="4"/>
  <c r="AH5" i="4"/>
  <c r="W5" i="4"/>
  <c r="K5" i="4"/>
  <c r="J5" i="4"/>
  <c r="I5" i="4"/>
  <c r="H5" i="4"/>
  <c r="G5" i="4"/>
  <c r="F5" i="4"/>
  <c r="E5" i="4"/>
  <c r="D5" i="4"/>
  <c r="AH4" i="4"/>
  <c r="W4" i="4"/>
  <c r="K4" i="4"/>
  <c r="J4" i="4"/>
  <c r="I4" i="4"/>
  <c r="H4" i="4"/>
  <c r="G4" i="4"/>
  <c r="F4" i="4"/>
  <c r="E4" i="4"/>
  <c r="D4" i="4"/>
  <c r="AH3" i="4"/>
  <c r="W3" i="4"/>
  <c r="K3" i="4"/>
  <c r="J3" i="4"/>
  <c r="I3" i="4"/>
  <c r="H3" i="4"/>
  <c r="G3" i="4"/>
  <c r="E3" i="4"/>
  <c r="W2" i="4"/>
  <c r="K2" i="4"/>
  <c r="J2" i="4"/>
  <c r="I2" i="4"/>
  <c r="H2" i="4"/>
  <c r="G2" i="4"/>
  <c r="F2" i="4"/>
  <c r="E2" i="4"/>
  <c r="D2" i="4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104" i="3"/>
  <c r="AC104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104" i="3"/>
  <c r="U104" i="3"/>
  <c r="AD102" i="3"/>
  <c r="V102" i="3"/>
  <c r="AD103" i="3"/>
  <c r="AC102" i="3"/>
  <c r="U102" i="3"/>
  <c r="AC103" i="3"/>
  <c r="F31" i="3"/>
  <c r="F32" i="3"/>
  <c r="F33" i="3"/>
  <c r="F34" i="3"/>
  <c r="G31" i="3"/>
  <c r="G32" i="3"/>
  <c r="G33" i="3"/>
  <c r="G34" i="3"/>
  <c r="J31" i="3"/>
  <c r="K31" i="3"/>
  <c r="J32" i="3"/>
  <c r="K32" i="3"/>
  <c r="J33" i="3"/>
  <c r="K33" i="3"/>
  <c r="J34" i="3"/>
  <c r="K34" i="3"/>
  <c r="AG31" i="3"/>
  <c r="F35" i="3"/>
  <c r="F36" i="3"/>
  <c r="F37" i="3"/>
  <c r="F38" i="3"/>
  <c r="G35" i="3"/>
  <c r="G36" i="3"/>
  <c r="G37" i="3"/>
  <c r="G38" i="3"/>
  <c r="J35" i="3"/>
  <c r="K35" i="3"/>
  <c r="J36" i="3"/>
  <c r="K36" i="3"/>
  <c r="J37" i="3"/>
  <c r="K37" i="3"/>
  <c r="J38" i="3"/>
  <c r="K38" i="3"/>
  <c r="AG35" i="3"/>
  <c r="F39" i="3"/>
  <c r="F40" i="3"/>
  <c r="F41" i="3"/>
  <c r="F42" i="3"/>
  <c r="G39" i="3"/>
  <c r="G40" i="3"/>
  <c r="G41" i="3"/>
  <c r="G42" i="3"/>
  <c r="J39" i="3"/>
  <c r="K39" i="3"/>
  <c r="J40" i="3"/>
  <c r="K40" i="3"/>
  <c r="J41" i="3"/>
  <c r="K41" i="3"/>
  <c r="J42" i="3"/>
  <c r="K42" i="3"/>
  <c r="AG39" i="3"/>
  <c r="F43" i="3"/>
  <c r="F44" i="3"/>
  <c r="F45" i="3"/>
  <c r="F46" i="3"/>
  <c r="G43" i="3"/>
  <c r="G44" i="3"/>
  <c r="G45" i="3"/>
  <c r="G46" i="3"/>
  <c r="J43" i="3"/>
  <c r="K43" i="3"/>
  <c r="J44" i="3"/>
  <c r="K44" i="3"/>
  <c r="J45" i="3"/>
  <c r="K45" i="3"/>
  <c r="J46" i="3"/>
  <c r="K46" i="3"/>
  <c r="AG43" i="3"/>
  <c r="F47" i="3"/>
  <c r="F48" i="3"/>
  <c r="F49" i="3"/>
  <c r="F50" i="3"/>
  <c r="G47" i="3"/>
  <c r="G48" i="3"/>
  <c r="G49" i="3"/>
  <c r="G50" i="3"/>
  <c r="J47" i="3"/>
  <c r="K47" i="3"/>
  <c r="J48" i="3"/>
  <c r="K48" i="3"/>
  <c r="J49" i="3"/>
  <c r="K49" i="3"/>
  <c r="J50" i="3"/>
  <c r="K50" i="3"/>
  <c r="AG47" i="3"/>
  <c r="F51" i="3"/>
  <c r="F52" i="3"/>
  <c r="F53" i="3"/>
  <c r="F54" i="3"/>
  <c r="G51" i="3"/>
  <c r="G52" i="3"/>
  <c r="G53" i="3"/>
  <c r="G54" i="3"/>
  <c r="J51" i="3"/>
  <c r="K51" i="3"/>
  <c r="J52" i="3"/>
  <c r="K52" i="3"/>
  <c r="J53" i="3"/>
  <c r="K53" i="3"/>
  <c r="J54" i="3"/>
  <c r="K54" i="3"/>
  <c r="AG51" i="3"/>
  <c r="F59" i="3"/>
  <c r="F60" i="3"/>
  <c r="F61" i="3"/>
  <c r="F62" i="3"/>
  <c r="G59" i="3"/>
  <c r="G60" i="3"/>
  <c r="G61" i="3"/>
  <c r="G62" i="3"/>
  <c r="J59" i="3"/>
  <c r="K59" i="3"/>
  <c r="J60" i="3"/>
  <c r="K60" i="3"/>
  <c r="J61" i="3"/>
  <c r="K61" i="3"/>
  <c r="J62" i="3"/>
  <c r="K62" i="3"/>
  <c r="AG59" i="3"/>
  <c r="F55" i="3"/>
  <c r="F56" i="3"/>
  <c r="F57" i="3"/>
  <c r="F58" i="3"/>
  <c r="G55" i="3"/>
  <c r="G56" i="3"/>
  <c r="G57" i="3"/>
  <c r="G58" i="3"/>
  <c r="J55" i="3"/>
  <c r="K55" i="3"/>
  <c r="J56" i="3"/>
  <c r="K56" i="3"/>
  <c r="J57" i="3"/>
  <c r="K57" i="3"/>
  <c r="J58" i="3"/>
  <c r="K58" i="3"/>
  <c r="AG55" i="3"/>
  <c r="F63" i="3"/>
  <c r="F64" i="3"/>
  <c r="F65" i="3"/>
  <c r="F66" i="3"/>
  <c r="G63" i="3"/>
  <c r="G64" i="3"/>
  <c r="G65" i="3"/>
  <c r="G66" i="3"/>
  <c r="J63" i="3"/>
  <c r="K63" i="3"/>
  <c r="J64" i="3"/>
  <c r="K64" i="3"/>
  <c r="J65" i="3"/>
  <c r="K65" i="3"/>
  <c r="J66" i="3"/>
  <c r="K66" i="3"/>
  <c r="AG63" i="3"/>
  <c r="F67" i="3"/>
  <c r="F68" i="3"/>
  <c r="F69" i="3"/>
  <c r="F70" i="3"/>
  <c r="G67" i="3"/>
  <c r="G68" i="3"/>
  <c r="G69" i="3"/>
  <c r="G70" i="3"/>
  <c r="J67" i="3"/>
  <c r="K67" i="3"/>
  <c r="J68" i="3"/>
  <c r="K68" i="3"/>
  <c r="J69" i="3"/>
  <c r="K69" i="3"/>
  <c r="J70" i="3"/>
  <c r="K70" i="3"/>
  <c r="AG67" i="3"/>
  <c r="F71" i="3"/>
  <c r="F72" i="3"/>
  <c r="F73" i="3"/>
  <c r="F74" i="3"/>
  <c r="G71" i="3"/>
  <c r="G72" i="3"/>
  <c r="G73" i="3"/>
  <c r="G74" i="3"/>
  <c r="J71" i="3"/>
  <c r="K71" i="3"/>
  <c r="J72" i="3"/>
  <c r="K72" i="3"/>
  <c r="J73" i="3"/>
  <c r="K73" i="3"/>
  <c r="J74" i="3"/>
  <c r="K74" i="3"/>
  <c r="AG71" i="3"/>
  <c r="AG101" i="3"/>
  <c r="D31" i="3"/>
  <c r="D32" i="3"/>
  <c r="D33" i="3"/>
  <c r="D34" i="3"/>
  <c r="E31" i="3"/>
  <c r="E32" i="3"/>
  <c r="E33" i="3"/>
  <c r="E34" i="3"/>
  <c r="H31" i="3"/>
  <c r="I31" i="3"/>
  <c r="H32" i="3"/>
  <c r="I32" i="3"/>
  <c r="H33" i="3"/>
  <c r="I33" i="3"/>
  <c r="H34" i="3"/>
  <c r="I34" i="3"/>
  <c r="AF31" i="3"/>
  <c r="D35" i="3"/>
  <c r="D36" i="3"/>
  <c r="D37" i="3"/>
  <c r="D38" i="3"/>
  <c r="E35" i="3"/>
  <c r="E36" i="3"/>
  <c r="E37" i="3"/>
  <c r="E38" i="3"/>
  <c r="H35" i="3"/>
  <c r="I35" i="3"/>
  <c r="H36" i="3"/>
  <c r="I36" i="3"/>
  <c r="H37" i="3"/>
  <c r="I37" i="3"/>
  <c r="H38" i="3"/>
  <c r="I38" i="3"/>
  <c r="AF35" i="3"/>
  <c r="D39" i="3"/>
  <c r="D40" i="3"/>
  <c r="D41" i="3"/>
  <c r="D42" i="3"/>
  <c r="E39" i="3"/>
  <c r="E40" i="3"/>
  <c r="E41" i="3"/>
  <c r="E42" i="3"/>
  <c r="H39" i="3"/>
  <c r="I39" i="3"/>
  <c r="H40" i="3"/>
  <c r="I40" i="3"/>
  <c r="H41" i="3"/>
  <c r="I41" i="3"/>
  <c r="H42" i="3"/>
  <c r="I42" i="3"/>
  <c r="AF39" i="3"/>
  <c r="D43" i="3"/>
  <c r="D44" i="3"/>
  <c r="D45" i="3"/>
  <c r="D46" i="3"/>
  <c r="E43" i="3"/>
  <c r="E44" i="3"/>
  <c r="E45" i="3"/>
  <c r="E46" i="3"/>
  <c r="H43" i="3"/>
  <c r="I43" i="3"/>
  <c r="H44" i="3"/>
  <c r="I44" i="3"/>
  <c r="H45" i="3"/>
  <c r="I45" i="3"/>
  <c r="H46" i="3"/>
  <c r="I46" i="3"/>
  <c r="AF43" i="3"/>
  <c r="D47" i="3"/>
  <c r="D48" i="3"/>
  <c r="D49" i="3"/>
  <c r="D50" i="3"/>
  <c r="E47" i="3"/>
  <c r="E48" i="3"/>
  <c r="E49" i="3"/>
  <c r="E50" i="3"/>
  <c r="H47" i="3"/>
  <c r="I47" i="3"/>
  <c r="H48" i="3"/>
  <c r="I48" i="3"/>
  <c r="H49" i="3"/>
  <c r="I49" i="3"/>
  <c r="H50" i="3"/>
  <c r="I50" i="3"/>
  <c r="AF47" i="3"/>
  <c r="D51" i="3"/>
  <c r="D52" i="3"/>
  <c r="D53" i="3"/>
  <c r="D54" i="3"/>
  <c r="E51" i="3"/>
  <c r="E52" i="3"/>
  <c r="E53" i="3"/>
  <c r="E54" i="3"/>
  <c r="H51" i="3"/>
  <c r="I51" i="3"/>
  <c r="H52" i="3"/>
  <c r="I52" i="3"/>
  <c r="H53" i="3"/>
  <c r="I53" i="3"/>
  <c r="H54" i="3"/>
  <c r="I54" i="3"/>
  <c r="AF51" i="3"/>
  <c r="D59" i="3"/>
  <c r="D60" i="3"/>
  <c r="D61" i="3"/>
  <c r="D62" i="3"/>
  <c r="E59" i="3"/>
  <c r="E60" i="3"/>
  <c r="E61" i="3"/>
  <c r="E62" i="3"/>
  <c r="H59" i="3"/>
  <c r="I59" i="3"/>
  <c r="H60" i="3"/>
  <c r="I60" i="3"/>
  <c r="H61" i="3"/>
  <c r="I61" i="3"/>
  <c r="H62" i="3"/>
  <c r="I62" i="3"/>
  <c r="AF59" i="3"/>
  <c r="D55" i="3"/>
  <c r="D56" i="3"/>
  <c r="D57" i="3"/>
  <c r="D58" i="3"/>
  <c r="E55" i="3"/>
  <c r="E56" i="3"/>
  <c r="E57" i="3"/>
  <c r="E58" i="3"/>
  <c r="H55" i="3"/>
  <c r="I55" i="3"/>
  <c r="H56" i="3"/>
  <c r="I56" i="3"/>
  <c r="H57" i="3"/>
  <c r="I57" i="3"/>
  <c r="H58" i="3"/>
  <c r="I58" i="3"/>
  <c r="AF55" i="3"/>
  <c r="D63" i="3"/>
  <c r="D64" i="3"/>
  <c r="D65" i="3"/>
  <c r="D66" i="3"/>
  <c r="E63" i="3"/>
  <c r="E64" i="3"/>
  <c r="E65" i="3"/>
  <c r="E66" i="3"/>
  <c r="H63" i="3"/>
  <c r="I63" i="3"/>
  <c r="H64" i="3"/>
  <c r="I64" i="3"/>
  <c r="H65" i="3"/>
  <c r="I65" i="3"/>
  <c r="H66" i="3"/>
  <c r="I66" i="3"/>
  <c r="AF63" i="3"/>
  <c r="D67" i="3"/>
  <c r="D68" i="3"/>
  <c r="D69" i="3"/>
  <c r="D70" i="3"/>
  <c r="E67" i="3"/>
  <c r="E68" i="3"/>
  <c r="E69" i="3"/>
  <c r="E70" i="3"/>
  <c r="H67" i="3"/>
  <c r="I67" i="3"/>
  <c r="H68" i="3"/>
  <c r="I68" i="3"/>
  <c r="H69" i="3"/>
  <c r="I69" i="3"/>
  <c r="H70" i="3"/>
  <c r="I70" i="3"/>
  <c r="AF67" i="3"/>
  <c r="D71" i="3"/>
  <c r="D72" i="3"/>
  <c r="D73" i="3"/>
  <c r="D74" i="3"/>
  <c r="E71" i="3"/>
  <c r="E72" i="3"/>
  <c r="E73" i="3"/>
  <c r="E74" i="3"/>
  <c r="H71" i="3"/>
  <c r="I71" i="3"/>
  <c r="H72" i="3"/>
  <c r="I72" i="3"/>
  <c r="H73" i="3"/>
  <c r="I73" i="3"/>
  <c r="H74" i="3"/>
  <c r="I74" i="3"/>
  <c r="AF71" i="3"/>
  <c r="AF101" i="3"/>
  <c r="AE31" i="3"/>
  <c r="AE35" i="3"/>
  <c r="AE39" i="3"/>
  <c r="AE43" i="3"/>
  <c r="AE47" i="3"/>
  <c r="AE51" i="3"/>
  <c r="AE59" i="3"/>
  <c r="AE55" i="3"/>
  <c r="AE63" i="3"/>
  <c r="AE67" i="3"/>
  <c r="AE71" i="3"/>
  <c r="AE101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100" i="3"/>
  <c r="AC100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100" i="3"/>
  <c r="U100" i="3"/>
  <c r="AD98" i="3"/>
  <c r="V98" i="3"/>
  <c r="AD99" i="3"/>
  <c r="AC98" i="3"/>
  <c r="U98" i="3"/>
  <c r="AC99" i="3"/>
  <c r="F3" i="3"/>
  <c r="AG3" i="3"/>
  <c r="AG97" i="3"/>
  <c r="D3" i="3"/>
  <c r="AF3" i="3"/>
  <c r="AF97" i="3"/>
  <c r="AE3" i="3"/>
  <c r="AE97" i="3"/>
  <c r="AG95" i="3"/>
  <c r="AF95" i="3"/>
  <c r="AE95" i="3"/>
  <c r="AG94" i="3"/>
  <c r="AF94" i="3"/>
  <c r="AE94" i="3"/>
  <c r="AG93" i="3"/>
  <c r="AF93" i="3"/>
  <c r="AE93" i="3"/>
  <c r="F11" i="3"/>
  <c r="AG11" i="3"/>
  <c r="AG92" i="3"/>
  <c r="D11" i="3"/>
  <c r="AF11" i="3"/>
  <c r="AF92" i="3"/>
  <c r="AE11" i="3"/>
  <c r="AE92" i="3"/>
  <c r="AG91" i="3"/>
  <c r="AF91" i="3"/>
  <c r="AE91" i="3"/>
  <c r="AH90" i="3"/>
  <c r="W90" i="3"/>
  <c r="AH89" i="3"/>
  <c r="W89" i="3"/>
  <c r="AH88" i="3"/>
  <c r="W88" i="3"/>
  <c r="AH87" i="3"/>
  <c r="W87" i="3"/>
  <c r="AH86" i="3"/>
  <c r="W86" i="3"/>
  <c r="AH85" i="3"/>
  <c r="W85" i="3"/>
  <c r="AH84" i="3"/>
  <c r="W84" i="3"/>
  <c r="AH83" i="3"/>
  <c r="W83" i="3"/>
  <c r="AH82" i="3"/>
  <c r="W82" i="3"/>
  <c r="AH81" i="3"/>
  <c r="W81" i="3"/>
  <c r="AH80" i="3"/>
  <c r="W80" i="3"/>
  <c r="AH79" i="3"/>
  <c r="W79" i="3"/>
  <c r="AH78" i="3"/>
  <c r="W78" i="3"/>
  <c r="AH77" i="3"/>
  <c r="W77" i="3"/>
  <c r="AH76" i="3"/>
  <c r="W76" i="3"/>
  <c r="AH75" i="3"/>
  <c r="W75" i="3"/>
  <c r="AH74" i="3"/>
  <c r="W74" i="3"/>
  <c r="AH73" i="3"/>
  <c r="W73" i="3"/>
  <c r="AH72" i="3"/>
  <c r="W72" i="3"/>
  <c r="AH71" i="3"/>
  <c r="W71" i="3"/>
  <c r="AH70" i="3"/>
  <c r="W70" i="3"/>
  <c r="AH69" i="3"/>
  <c r="W69" i="3"/>
  <c r="AH68" i="3"/>
  <c r="W68" i="3"/>
  <c r="AH67" i="3"/>
  <c r="W67" i="3"/>
  <c r="AH66" i="3"/>
  <c r="W66" i="3"/>
  <c r="AH65" i="3"/>
  <c r="W65" i="3"/>
  <c r="AH64" i="3"/>
  <c r="W64" i="3"/>
  <c r="AH63" i="3"/>
  <c r="W63" i="3"/>
  <c r="AH62" i="3"/>
  <c r="W62" i="3"/>
  <c r="AH61" i="3"/>
  <c r="W61" i="3"/>
  <c r="AH60" i="3"/>
  <c r="W60" i="3"/>
  <c r="AH59" i="3"/>
  <c r="W59" i="3"/>
  <c r="AH58" i="3"/>
  <c r="W58" i="3"/>
  <c r="AH57" i="3"/>
  <c r="W57" i="3"/>
  <c r="AH56" i="3"/>
  <c r="W56" i="3"/>
  <c r="AH55" i="3"/>
  <c r="W55" i="3"/>
  <c r="AH54" i="3"/>
  <c r="W54" i="3"/>
  <c r="AH53" i="3"/>
  <c r="W53" i="3"/>
  <c r="AH52" i="3"/>
  <c r="W52" i="3"/>
  <c r="AH51" i="3"/>
  <c r="W51" i="3"/>
  <c r="AH50" i="3"/>
  <c r="W50" i="3"/>
  <c r="AH49" i="3"/>
  <c r="W49" i="3"/>
  <c r="AH48" i="3"/>
  <c r="W48" i="3"/>
  <c r="AH47" i="3"/>
  <c r="W47" i="3"/>
  <c r="AH46" i="3"/>
  <c r="W46" i="3"/>
  <c r="AH45" i="3"/>
  <c r="W45" i="3"/>
  <c r="AH44" i="3"/>
  <c r="W44" i="3"/>
  <c r="AH43" i="3"/>
  <c r="W43" i="3"/>
  <c r="AH42" i="3"/>
  <c r="W42" i="3"/>
  <c r="AH41" i="3"/>
  <c r="W41" i="3"/>
  <c r="AH40" i="3"/>
  <c r="W40" i="3"/>
  <c r="AH39" i="3"/>
  <c r="W39" i="3"/>
  <c r="AH38" i="3"/>
  <c r="W38" i="3"/>
  <c r="AH37" i="3"/>
  <c r="W37" i="3"/>
  <c r="AH36" i="3"/>
  <c r="W36" i="3"/>
  <c r="AH35" i="3"/>
  <c r="W35" i="3"/>
  <c r="AH34" i="3"/>
  <c r="W34" i="3"/>
  <c r="AH33" i="3"/>
  <c r="W33" i="3"/>
  <c r="AH32" i="3"/>
  <c r="W32" i="3"/>
  <c r="AH31" i="3"/>
  <c r="W31" i="3"/>
  <c r="AH30" i="3"/>
  <c r="W30" i="3"/>
  <c r="K30" i="3"/>
  <c r="J30" i="3"/>
  <c r="I30" i="3"/>
  <c r="H30" i="3"/>
  <c r="G30" i="3"/>
  <c r="F30" i="3"/>
  <c r="E30" i="3"/>
  <c r="D30" i="3"/>
  <c r="AH29" i="3"/>
  <c r="W29" i="3"/>
  <c r="K29" i="3"/>
  <c r="J29" i="3"/>
  <c r="I29" i="3"/>
  <c r="H29" i="3"/>
  <c r="G29" i="3"/>
  <c r="F29" i="3"/>
  <c r="E29" i="3"/>
  <c r="D29" i="3"/>
  <c r="AH28" i="3"/>
  <c r="W28" i="3"/>
  <c r="K28" i="3"/>
  <c r="J28" i="3"/>
  <c r="I28" i="3"/>
  <c r="H28" i="3"/>
  <c r="G28" i="3"/>
  <c r="F28" i="3"/>
  <c r="E28" i="3"/>
  <c r="D28" i="3"/>
  <c r="AH27" i="3"/>
  <c r="F27" i="3"/>
  <c r="AG27" i="3"/>
  <c r="D27" i="3"/>
  <c r="AF27" i="3"/>
  <c r="AE27" i="3"/>
  <c r="W27" i="3"/>
  <c r="K27" i="3"/>
  <c r="J27" i="3"/>
  <c r="I27" i="3"/>
  <c r="H27" i="3"/>
  <c r="G27" i="3"/>
  <c r="E27" i="3"/>
  <c r="AH26" i="3"/>
  <c r="W26" i="3"/>
  <c r="K26" i="3"/>
  <c r="J26" i="3"/>
  <c r="I26" i="3"/>
  <c r="H26" i="3"/>
  <c r="G26" i="3"/>
  <c r="F26" i="3"/>
  <c r="E26" i="3"/>
  <c r="D26" i="3"/>
  <c r="AH25" i="3"/>
  <c r="W25" i="3"/>
  <c r="K25" i="3"/>
  <c r="J25" i="3"/>
  <c r="I25" i="3"/>
  <c r="H25" i="3"/>
  <c r="G25" i="3"/>
  <c r="F25" i="3"/>
  <c r="E25" i="3"/>
  <c r="D25" i="3"/>
  <c r="AH24" i="3"/>
  <c r="W24" i="3"/>
  <c r="K24" i="3"/>
  <c r="J24" i="3"/>
  <c r="I24" i="3"/>
  <c r="H24" i="3"/>
  <c r="G24" i="3"/>
  <c r="F24" i="3"/>
  <c r="E24" i="3"/>
  <c r="D24" i="3"/>
  <c r="AH23" i="3"/>
  <c r="F23" i="3"/>
  <c r="AG23" i="3"/>
  <c r="D23" i="3"/>
  <c r="AF23" i="3"/>
  <c r="AE23" i="3"/>
  <c r="W23" i="3"/>
  <c r="K23" i="3"/>
  <c r="J23" i="3"/>
  <c r="I23" i="3"/>
  <c r="H23" i="3"/>
  <c r="G23" i="3"/>
  <c r="E23" i="3"/>
  <c r="AH22" i="3"/>
  <c r="W22" i="3"/>
  <c r="K22" i="3"/>
  <c r="J22" i="3"/>
  <c r="I22" i="3"/>
  <c r="H22" i="3"/>
  <c r="G22" i="3"/>
  <c r="F22" i="3"/>
  <c r="E22" i="3"/>
  <c r="D22" i="3"/>
  <c r="AH21" i="3"/>
  <c r="W21" i="3"/>
  <c r="K21" i="3"/>
  <c r="J21" i="3"/>
  <c r="I21" i="3"/>
  <c r="H21" i="3"/>
  <c r="G21" i="3"/>
  <c r="F21" i="3"/>
  <c r="E21" i="3"/>
  <c r="D21" i="3"/>
  <c r="AH20" i="3"/>
  <c r="W20" i="3"/>
  <c r="K20" i="3"/>
  <c r="J20" i="3"/>
  <c r="I20" i="3"/>
  <c r="H20" i="3"/>
  <c r="G20" i="3"/>
  <c r="F20" i="3"/>
  <c r="E20" i="3"/>
  <c r="D20" i="3"/>
  <c r="AH19" i="3"/>
  <c r="F19" i="3"/>
  <c r="AG19" i="3"/>
  <c r="D19" i="3"/>
  <c r="AF19" i="3"/>
  <c r="AE19" i="3"/>
  <c r="W19" i="3"/>
  <c r="K19" i="3"/>
  <c r="J19" i="3"/>
  <c r="I19" i="3"/>
  <c r="H19" i="3"/>
  <c r="G19" i="3"/>
  <c r="E19" i="3"/>
  <c r="AH18" i="3"/>
  <c r="W18" i="3"/>
  <c r="K18" i="3"/>
  <c r="J18" i="3"/>
  <c r="I18" i="3"/>
  <c r="H18" i="3"/>
  <c r="G18" i="3"/>
  <c r="F18" i="3"/>
  <c r="E18" i="3"/>
  <c r="D18" i="3"/>
  <c r="AH17" i="3"/>
  <c r="W17" i="3"/>
  <c r="K17" i="3"/>
  <c r="J17" i="3"/>
  <c r="I17" i="3"/>
  <c r="H17" i="3"/>
  <c r="G17" i="3"/>
  <c r="F17" i="3"/>
  <c r="E17" i="3"/>
  <c r="D17" i="3"/>
  <c r="AH16" i="3"/>
  <c r="W16" i="3"/>
  <c r="K16" i="3"/>
  <c r="J16" i="3"/>
  <c r="I16" i="3"/>
  <c r="H16" i="3"/>
  <c r="G16" i="3"/>
  <c r="F16" i="3"/>
  <c r="E16" i="3"/>
  <c r="D16" i="3"/>
  <c r="AH15" i="3"/>
  <c r="F15" i="3"/>
  <c r="AG15" i="3"/>
  <c r="D15" i="3"/>
  <c r="AF15" i="3"/>
  <c r="AE15" i="3"/>
  <c r="W15" i="3"/>
  <c r="K15" i="3"/>
  <c r="J15" i="3"/>
  <c r="I15" i="3"/>
  <c r="H15" i="3"/>
  <c r="G15" i="3"/>
  <c r="E15" i="3"/>
  <c r="AH14" i="3"/>
  <c r="W14" i="3"/>
  <c r="K14" i="3"/>
  <c r="J14" i="3"/>
  <c r="I14" i="3"/>
  <c r="H14" i="3"/>
  <c r="G14" i="3"/>
  <c r="F14" i="3"/>
  <c r="E14" i="3"/>
  <c r="D14" i="3"/>
  <c r="AH13" i="3"/>
  <c r="W13" i="3"/>
  <c r="K13" i="3"/>
  <c r="J13" i="3"/>
  <c r="I13" i="3"/>
  <c r="H13" i="3"/>
  <c r="G13" i="3"/>
  <c r="F13" i="3"/>
  <c r="E13" i="3"/>
  <c r="D13" i="3"/>
  <c r="AH12" i="3"/>
  <c r="W12" i="3"/>
  <c r="K12" i="3"/>
  <c r="J12" i="3"/>
  <c r="I12" i="3"/>
  <c r="H12" i="3"/>
  <c r="G12" i="3"/>
  <c r="F12" i="3"/>
  <c r="E12" i="3"/>
  <c r="D12" i="3"/>
  <c r="AH11" i="3"/>
  <c r="W11" i="3"/>
  <c r="K11" i="3"/>
  <c r="J11" i="3"/>
  <c r="I11" i="3"/>
  <c r="H11" i="3"/>
  <c r="G11" i="3"/>
  <c r="E11" i="3"/>
  <c r="AH10" i="3"/>
  <c r="W10" i="3"/>
  <c r="K10" i="3"/>
  <c r="J10" i="3"/>
  <c r="I10" i="3"/>
  <c r="H10" i="3"/>
  <c r="G10" i="3"/>
  <c r="F10" i="3"/>
  <c r="E10" i="3"/>
  <c r="D10" i="3"/>
  <c r="AH9" i="3"/>
  <c r="W9" i="3"/>
  <c r="K9" i="3"/>
  <c r="J9" i="3"/>
  <c r="I9" i="3"/>
  <c r="H9" i="3"/>
  <c r="G9" i="3"/>
  <c r="F9" i="3"/>
  <c r="E9" i="3"/>
  <c r="D9" i="3"/>
  <c r="AH8" i="3"/>
  <c r="W8" i="3"/>
  <c r="K8" i="3"/>
  <c r="J8" i="3"/>
  <c r="I8" i="3"/>
  <c r="H8" i="3"/>
  <c r="G8" i="3"/>
  <c r="F8" i="3"/>
  <c r="E8" i="3"/>
  <c r="D8" i="3"/>
  <c r="AH7" i="3"/>
  <c r="F7" i="3"/>
  <c r="AG7" i="3"/>
  <c r="D7" i="3"/>
  <c r="AF7" i="3"/>
  <c r="AE7" i="3"/>
  <c r="W7" i="3"/>
  <c r="K7" i="3"/>
  <c r="J7" i="3"/>
  <c r="I7" i="3"/>
  <c r="H7" i="3"/>
  <c r="G7" i="3"/>
  <c r="E7" i="3"/>
  <c r="AH6" i="3"/>
  <c r="W6" i="3"/>
  <c r="K6" i="3"/>
  <c r="J6" i="3"/>
  <c r="I6" i="3"/>
  <c r="H6" i="3"/>
  <c r="G6" i="3"/>
  <c r="F6" i="3"/>
  <c r="E6" i="3"/>
  <c r="D6" i="3"/>
  <c r="AH5" i="3"/>
  <c r="W5" i="3"/>
  <c r="K5" i="3"/>
  <c r="J5" i="3"/>
  <c r="I5" i="3"/>
  <c r="H5" i="3"/>
  <c r="G5" i="3"/>
  <c r="F5" i="3"/>
  <c r="E5" i="3"/>
  <c r="D5" i="3"/>
  <c r="AH4" i="3"/>
  <c r="W4" i="3"/>
  <c r="K4" i="3"/>
  <c r="J4" i="3"/>
  <c r="I4" i="3"/>
  <c r="H4" i="3"/>
  <c r="G4" i="3"/>
  <c r="F4" i="3"/>
  <c r="E4" i="3"/>
  <c r="D4" i="3"/>
  <c r="AH3" i="3"/>
  <c r="W3" i="3"/>
  <c r="K3" i="3"/>
  <c r="J3" i="3"/>
  <c r="I3" i="3"/>
  <c r="H3" i="3"/>
  <c r="G3" i="3"/>
  <c r="E3" i="3"/>
  <c r="W2" i="3"/>
  <c r="K2" i="3"/>
  <c r="J2" i="3"/>
  <c r="I2" i="3"/>
  <c r="H2" i="3"/>
  <c r="G2" i="3"/>
  <c r="F2" i="3"/>
  <c r="E2" i="3"/>
  <c r="D2" i="3"/>
  <c r="F31" i="1"/>
  <c r="F32" i="1"/>
  <c r="F33" i="1"/>
  <c r="F34" i="1"/>
  <c r="G31" i="1"/>
  <c r="G32" i="1"/>
  <c r="G33" i="1"/>
  <c r="G34" i="1"/>
  <c r="J31" i="1"/>
  <c r="K31" i="1"/>
  <c r="J32" i="1"/>
  <c r="K32" i="1"/>
  <c r="J33" i="1"/>
  <c r="K33" i="1"/>
  <c r="J34" i="1"/>
  <c r="K34" i="1"/>
  <c r="AG31" i="1"/>
  <c r="F35" i="1"/>
  <c r="F36" i="1"/>
  <c r="F37" i="1"/>
  <c r="F38" i="1"/>
  <c r="G35" i="1"/>
  <c r="G36" i="1"/>
  <c r="G37" i="1"/>
  <c r="G38" i="1"/>
  <c r="J35" i="1"/>
  <c r="K35" i="1"/>
  <c r="J36" i="1"/>
  <c r="K36" i="1"/>
  <c r="J37" i="1"/>
  <c r="K37" i="1"/>
  <c r="J38" i="1"/>
  <c r="K38" i="1"/>
  <c r="AG35" i="1"/>
  <c r="F39" i="1"/>
  <c r="F40" i="1"/>
  <c r="F41" i="1"/>
  <c r="F42" i="1"/>
  <c r="G39" i="1"/>
  <c r="G40" i="1"/>
  <c r="G41" i="1"/>
  <c r="G42" i="1"/>
  <c r="J39" i="1"/>
  <c r="K39" i="1"/>
  <c r="J40" i="1"/>
  <c r="K40" i="1"/>
  <c r="J41" i="1"/>
  <c r="K41" i="1"/>
  <c r="J42" i="1"/>
  <c r="K42" i="1"/>
  <c r="AG39" i="1"/>
  <c r="F43" i="1"/>
  <c r="F44" i="1"/>
  <c r="F45" i="1"/>
  <c r="F46" i="1"/>
  <c r="G43" i="1"/>
  <c r="G44" i="1"/>
  <c r="G45" i="1"/>
  <c r="G46" i="1"/>
  <c r="J43" i="1"/>
  <c r="K43" i="1"/>
  <c r="J44" i="1"/>
  <c r="K44" i="1"/>
  <c r="J45" i="1"/>
  <c r="K45" i="1"/>
  <c r="J46" i="1"/>
  <c r="K46" i="1"/>
  <c r="AG43" i="1"/>
  <c r="F47" i="1"/>
  <c r="F48" i="1"/>
  <c r="F49" i="1"/>
  <c r="F50" i="1"/>
  <c r="G47" i="1"/>
  <c r="G48" i="1"/>
  <c r="G49" i="1"/>
  <c r="G50" i="1"/>
  <c r="J47" i="1"/>
  <c r="K47" i="1"/>
  <c r="J48" i="1"/>
  <c r="K48" i="1"/>
  <c r="J49" i="1"/>
  <c r="K49" i="1"/>
  <c r="J50" i="1"/>
  <c r="K50" i="1"/>
  <c r="AG47" i="1"/>
  <c r="F51" i="1"/>
  <c r="F52" i="1"/>
  <c r="F53" i="1"/>
  <c r="F54" i="1"/>
  <c r="G51" i="1"/>
  <c r="G52" i="1"/>
  <c r="G53" i="1"/>
  <c r="G54" i="1"/>
  <c r="J51" i="1"/>
  <c r="K51" i="1"/>
  <c r="J52" i="1"/>
  <c r="K52" i="1"/>
  <c r="J53" i="1"/>
  <c r="K53" i="1"/>
  <c r="J54" i="1"/>
  <c r="K54" i="1"/>
  <c r="AG51" i="1"/>
  <c r="F59" i="1"/>
  <c r="F60" i="1"/>
  <c r="F61" i="1"/>
  <c r="F62" i="1"/>
  <c r="G59" i="1"/>
  <c r="G60" i="1"/>
  <c r="G61" i="1"/>
  <c r="G62" i="1"/>
  <c r="J59" i="1"/>
  <c r="K59" i="1"/>
  <c r="J60" i="1"/>
  <c r="K60" i="1"/>
  <c r="J61" i="1"/>
  <c r="K61" i="1"/>
  <c r="J62" i="1"/>
  <c r="K62" i="1"/>
  <c r="AG59" i="1"/>
  <c r="F55" i="1"/>
  <c r="F56" i="1"/>
  <c r="F57" i="1"/>
  <c r="F58" i="1"/>
  <c r="G55" i="1"/>
  <c r="G56" i="1"/>
  <c r="G57" i="1"/>
  <c r="G58" i="1"/>
  <c r="J55" i="1"/>
  <c r="K55" i="1"/>
  <c r="J56" i="1"/>
  <c r="K56" i="1"/>
  <c r="J57" i="1"/>
  <c r="K57" i="1"/>
  <c r="J58" i="1"/>
  <c r="K58" i="1"/>
  <c r="AG55" i="1"/>
  <c r="F63" i="1"/>
  <c r="F64" i="1"/>
  <c r="F65" i="1"/>
  <c r="F66" i="1"/>
  <c r="G63" i="1"/>
  <c r="G64" i="1"/>
  <c r="G65" i="1"/>
  <c r="G66" i="1"/>
  <c r="J63" i="1"/>
  <c r="K63" i="1"/>
  <c r="J64" i="1"/>
  <c r="K64" i="1"/>
  <c r="J65" i="1"/>
  <c r="K65" i="1"/>
  <c r="J66" i="1"/>
  <c r="K66" i="1"/>
  <c r="AG63" i="1"/>
  <c r="F67" i="1"/>
  <c r="F68" i="1"/>
  <c r="F69" i="1"/>
  <c r="F70" i="1"/>
  <c r="G67" i="1"/>
  <c r="G68" i="1"/>
  <c r="G69" i="1"/>
  <c r="G70" i="1"/>
  <c r="J67" i="1"/>
  <c r="K67" i="1"/>
  <c r="J68" i="1"/>
  <c r="K68" i="1"/>
  <c r="J69" i="1"/>
  <c r="K69" i="1"/>
  <c r="J70" i="1"/>
  <c r="K70" i="1"/>
  <c r="AG67" i="1"/>
  <c r="F71" i="1"/>
  <c r="F72" i="1"/>
  <c r="F73" i="1"/>
  <c r="F74" i="1"/>
  <c r="G71" i="1"/>
  <c r="G72" i="1"/>
  <c r="G73" i="1"/>
  <c r="G74" i="1"/>
  <c r="J71" i="1"/>
  <c r="K71" i="1"/>
  <c r="J72" i="1"/>
  <c r="K72" i="1"/>
  <c r="J73" i="1"/>
  <c r="K73" i="1"/>
  <c r="J74" i="1"/>
  <c r="K74" i="1"/>
  <c r="AG71" i="1"/>
  <c r="AG101" i="1"/>
  <c r="D31" i="1"/>
  <c r="D32" i="1"/>
  <c r="D33" i="1"/>
  <c r="D34" i="1"/>
  <c r="E31" i="1"/>
  <c r="E32" i="1"/>
  <c r="E33" i="1"/>
  <c r="E34" i="1"/>
  <c r="H31" i="1"/>
  <c r="I31" i="1"/>
  <c r="H32" i="1"/>
  <c r="I32" i="1"/>
  <c r="H33" i="1"/>
  <c r="I33" i="1"/>
  <c r="H34" i="1"/>
  <c r="I34" i="1"/>
  <c r="AF31" i="1"/>
  <c r="D35" i="1"/>
  <c r="D36" i="1"/>
  <c r="D37" i="1"/>
  <c r="D38" i="1"/>
  <c r="E35" i="1"/>
  <c r="E36" i="1"/>
  <c r="E37" i="1"/>
  <c r="E38" i="1"/>
  <c r="H35" i="1"/>
  <c r="I35" i="1"/>
  <c r="H36" i="1"/>
  <c r="I36" i="1"/>
  <c r="H37" i="1"/>
  <c r="I37" i="1"/>
  <c r="H38" i="1"/>
  <c r="I38" i="1"/>
  <c r="AF35" i="1"/>
  <c r="D39" i="1"/>
  <c r="D40" i="1"/>
  <c r="D41" i="1"/>
  <c r="D42" i="1"/>
  <c r="E39" i="1"/>
  <c r="E40" i="1"/>
  <c r="E41" i="1"/>
  <c r="E42" i="1"/>
  <c r="H39" i="1"/>
  <c r="I39" i="1"/>
  <c r="H40" i="1"/>
  <c r="I40" i="1"/>
  <c r="H41" i="1"/>
  <c r="I41" i="1"/>
  <c r="H42" i="1"/>
  <c r="I42" i="1"/>
  <c r="AF39" i="1"/>
  <c r="D43" i="1"/>
  <c r="D44" i="1"/>
  <c r="D45" i="1"/>
  <c r="D46" i="1"/>
  <c r="E43" i="1"/>
  <c r="E44" i="1"/>
  <c r="E45" i="1"/>
  <c r="E46" i="1"/>
  <c r="H43" i="1"/>
  <c r="I43" i="1"/>
  <c r="H44" i="1"/>
  <c r="I44" i="1"/>
  <c r="H45" i="1"/>
  <c r="I45" i="1"/>
  <c r="H46" i="1"/>
  <c r="I46" i="1"/>
  <c r="AF43" i="1"/>
  <c r="D47" i="1"/>
  <c r="D48" i="1"/>
  <c r="D49" i="1"/>
  <c r="D50" i="1"/>
  <c r="E47" i="1"/>
  <c r="E48" i="1"/>
  <c r="E49" i="1"/>
  <c r="E50" i="1"/>
  <c r="H47" i="1"/>
  <c r="I47" i="1"/>
  <c r="H48" i="1"/>
  <c r="I48" i="1"/>
  <c r="H49" i="1"/>
  <c r="I49" i="1"/>
  <c r="H50" i="1"/>
  <c r="I50" i="1"/>
  <c r="AF47" i="1"/>
  <c r="D51" i="1"/>
  <c r="D52" i="1"/>
  <c r="D53" i="1"/>
  <c r="D54" i="1"/>
  <c r="E51" i="1"/>
  <c r="E52" i="1"/>
  <c r="E53" i="1"/>
  <c r="E54" i="1"/>
  <c r="H51" i="1"/>
  <c r="I51" i="1"/>
  <c r="H52" i="1"/>
  <c r="I52" i="1"/>
  <c r="H53" i="1"/>
  <c r="I53" i="1"/>
  <c r="H54" i="1"/>
  <c r="I54" i="1"/>
  <c r="AF51" i="1"/>
  <c r="D59" i="1"/>
  <c r="D60" i="1"/>
  <c r="D61" i="1"/>
  <c r="D62" i="1"/>
  <c r="E59" i="1"/>
  <c r="E60" i="1"/>
  <c r="E61" i="1"/>
  <c r="E62" i="1"/>
  <c r="H59" i="1"/>
  <c r="I59" i="1"/>
  <c r="H60" i="1"/>
  <c r="I60" i="1"/>
  <c r="H61" i="1"/>
  <c r="I61" i="1"/>
  <c r="H62" i="1"/>
  <c r="I62" i="1"/>
  <c r="AF59" i="1"/>
  <c r="D55" i="1"/>
  <c r="D56" i="1"/>
  <c r="D57" i="1"/>
  <c r="D58" i="1"/>
  <c r="E55" i="1"/>
  <c r="E56" i="1"/>
  <c r="E57" i="1"/>
  <c r="E58" i="1"/>
  <c r="H55" i="1"/>
  <c r="I55" i="1"/>
  <c r="H56" i="1"/>
  <c r="I56" i="1"/>
  <c r="H57" i="1"/>
  <c r="I57" i="1"/>
  <c r="H58" i="1"/>
  <c r="I58" i="1"/>
  <c r="AF55" i="1"/>
  <c r="D63" i="1"/>
  <c r="D64" i="1"/>
  <c r="D65" i="1"/>
  <c r="D66" i="1"/>
  <c r="E63" i="1"/>
  <c r="E64" i="1"/>
  <c r="E65" i="1"/>
  <c r="E66" i="1"/>
  <c r="H63" i="1"/>
  <c r="I63" i="1"/>
  <c r="H64" i="1"/>
  <c r="I64" i="1"/>
  <c r="H65" i="1"/>
  <c r="I65" i="1"/>
  <c r="H66" i="1"/>
  <c r="I66" i="1"/>
  <c r="AF63" i="1"/>
  <c r="D67" i="1"/>
  <c r="D68" i="1"/>
  <c r="D69" i="1"/>
  <c r="D70" i="1"/>
  <c r="E67" i="1"/>
  <c r="E68" i="1"/>
  <c r="E69" i="1"/>
  <c r="E70" i="1"/>
  <c r="H67" i="1"/>
  <c r="I67" i="1"/>
  <c r="H68" i="1"/>
  <c r="I68" i="1"/>
  <c r="H69" i="1"/>
  <c r="I69" i="1"/>
  <c r="H70" i="1"/>
  <c r="I70" i="1"/>
  <c r="AF67" i="1"/>
  <c r="D71" i="1"/>
  <c r="D72" i="1"/>
  <c r="D73" i="1"/>
  <c r="D74" i="1"/>
  <c r="E71" i="1"/>
  <c r="E72" i="1"/>
  <c r="E73" i="1"/>
  <c r="E74" i="1"/>
  <c r="H71" i="1"/>
  <c r="I71" i="1"/>
  <c r="H72" i="1"/>
  <c r="I72" i="1"/>
  <c r="H73" i="1"/>
  <c r="I73" i="1"/>
  <c r="H74" i="1"/>
  <c r="I74" i="1"/>
  <c r="AF71" i="1"/>
  <c r="AF101" i="1"/>
  <c r="AE31" i="1"/>
  <c r="AE35" i="1"/>
  <c r="AE39" i="1"/>
  <c r="AE43" i="1"/>
  <c r="AE47" i="1"/>
  <c r="AE51" i="1"/>
  <c r="AE59" i="1"/>
  <c r="AE55" i="1"/>
  <c r="AE63" i="1"/>
  <c r="AE67" i="1"/>
  <c r="AE71" i="1"/>
  <c r="AE101" i="1"/>
  <c r="AC98" i="1"/>
  <c r="U98" i="1"/>
  <c r="AC99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9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8" i="1"/>
  <c r="AD99" i="1"/>
  <c r="F3" i="1"/>
  <c r="AG3" i="1"/>
  <c r="AG97" i="1"/>
  <c r="D3" i="1"/>
  <c r="AF3" i="1"/>
  <c r="AF97" i="1"/>
  <c r="AE3" i="1"/>
  <c r="AE97" i="1"/>
  <c r="AG95" i="1"/>
  <c r="AF95" i="1"/>
  <c r="AE95" i="1"/>
  <c r="AG94" i="1"/>
  <c r="AF94" i="1"/>
  <c r="AE94" i="1"/>
  <c r="AG93" i="1"/>
  <c r="AF93" i="1"/>
  <c r="AE93" i="1"/>
  <c r="F11" i="1"/>
  <c r="AG11" i="1"/>
  <c r="AG92" i="1"/>
  <c r="D11" i="1"/>
  <c r="AF11" i="1"/>
  <c r="AF92" i="1"/>
  <c r="AE11" i="1"/>
  <c r="AE92" i="1"/>
  <c r="AG91" i="1"/>
  <c r="AF91" i="1"/>
  <c r="AE91" i="1"/>
  <c r="E10" i="2"/>
  <c r="D10" i="2"/>
  <c r="C10" i="2"/>
  <c r="C9" i="2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104" i="1"/>
  <c r="AD102" i="1"/>
  <c r="AC104" i="1"/>
  <c r="AC102" i="1"/>
  <c r="V104" i="1"/>
  <c r="U104" i="1"/>
  <c r="V102" i="1"/>
  <c r="U102" i="1"/>
  <c r="AD103" i="1"/>
  <c r="AC103" i="1"/>
  <c r="AH7" i="1"/>
  <c r="F7" i="1"/>
  <c r="AG7" i="1"/>
  <c r="D7" i="1"/>
  <c r="AF7" i="1"/>
  <c r="AE7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C8" i="2"/>
  <c r="C7" i="2"/>
  <c r="C5" i="2"/>
  <c r="C4" i="2"/>
  <c r="AH3" i="1"/>
  <c r="AH4" i="1"/>
  <c r="AH5" i="1"/>
  <c r="AH6" i="1"/>
  <c r="AH8" i="1"/>
  <c r="AH9" i="1"/>
  <c r="AH10" i="1"/>
  <c r="E8" i="2"/>
  <c r="D8" i="2"/>
  <c r="E7" i="2"/>
  <c r="D7" i="2"/>
  <c r="E5" i="2"/>
  <c r="D5" i="2"/>
  <c r="F4" i="1"/>
  <c r="F5" i="1"/>
  <c r="F6" i="1"/>
  <c r="J3" i="1"/>
  <c r="G3" i="1"/>
  <c r="G4" i="1"/>
  <c r="G5" i="1"/>
  <c r="G6" i="1"/>
  <c r="K3" i="1"/>
  <c r="J4" i="1"/>
  <c r="K4" i="1"/>
  <c r="J5" i="1"/>
  <c r="K5" i="1"/>
  <c r="J6" i="1"/>
  <c r="K6" i="1"/>
  <c r="F8" i="1"/>
  <c r="F9" i="1"/>
  <c r="F10" i="1"/>
  <c r="G7" i="1"/>
  <c r="G8" i="1"/>
  <c r="G9" i="1"/>
  <c r="G10" i="1"/>
  <c r="J7" i="1"/>
  <c r="K7" i="1"/>
  <c r="J8" i="1"/>
  <c r="K8" i="1"/>
  <c r="J9" i="1"/>
  <c r="K9" i="1"/>
  <c r="J10" i="1"/>
  <c r="K10" i="1"/>
  <c r="E4" i="2"/>
  <c r="D4" i="1"/>
  <c r="D5" i="1"/>
  <c r="D6" i="1"/>
  <c r="H3" i="1"/>
  <c r="E3" i="1"/>
  <c r="E4" i="1"/>
  <c r="E5" i="1"/>
  <c r="E6" i="1"/>
  <c r="I3" i="1"/>
  <c r="H4" i="1"/>
  <c r="I4" i="1"/>
  <c r="H5" i="1"/>
  <c r="I5" i="1"/>
  <c r="H6" i="1"/>
  <c r="I6" i="1"/>
  <c r="D8" i="1"/>
  <c r="D9" i="1"/>
  <c r="D10" i="1"/>
  <c r="E7" i="1"/>
  <c r="E8" i="1"/>
  <c r="E9" i="1"/>
  <c r="E10" i="1"/>
  <c r="H7" i="1"/>
  <c r="I7" i="1"/>
  <c r="H8" i="1"/>
  <c r="I8" i="1"/>
  <c r="H9" i="1"/>
  <c r="I9" i="1"/>
  <c r="H10" i="1"/>
  <c r="I10" i="1"/>
  <c r="D4" i="2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22" i="1"/>
  <c r="AH23" i="1"/>
  <c r="AH24" i="1"/>
  <c r="AH25" i="1"/>
  <c r="AH15" i="1"/>
  <c r="AH16" i="1"/>
  <c r="AH17" i="1"/>
  <c r="AH18" i="1"/>
  <c r="AH19" i="1"/>
  <c r="AH20" i="1"/>
  <c r="AH21" i="1"/>
  <c r="AH14" i="1"/>
  <c r="AH13" i="1"/>
  <c r="AH12" i="1"/>
  <c r="AH11" i="1"/>
  <c r="AC100" i="1"/>
  <c r="U100" i="1"/>
  <c r="K30" i="1"/>
  <c r="J30" i="1"/>
  <c r="I30" i="1"/>
  <c r="H30" i="1"/>
  <c r="G30" i="1"/>
  <c r="F30" i="1"/>
  <c r="E30" i="1"/>
  <c r="D30" i="1"/>
  <c r="K29" i="1"/>
  <c r="J29" i="1"/>
  <c r="I29" i="1"/>
  <c r="H29" i="1"/>
  <c r="G29" i="1"/>
  <c r="F29" i="1"/>
  <c r="E29" i="1"/>
  <c r="D29" i="1"/>
  <c r="K28" i="1"/>
  <c r="J28" i="1"/>
  <c r="I28" i="1"/>
  <c r="H28" i="1"/>
  <c r="G28" i="1"/>
  <c r="F28" i="1"/>
  <c r="E28" i="1"/>
  <c r="D28" i="1"/>
  <c r="K27" i="1"/>
  <c r="J27" i="1"/>
  <c r="I27" i="1"/>
  <c r="H27" i="1"/>
  <c r="G27" i="1"/>
  <c r="F27" i="1"/>
  <c r="E27" i="1"/>
  <c r="D27" i="1"/>
  <c r="K26" i="1"/>
  <c r="J26" i="1"/>
  <c r="I26" i="1"/>
  <c r="H26" i="1"/>
  <c r="G26" i="1"/>
  <c r="F26" i="1"/>
  <c r="E26" i="1"/>
  <c r="D26" i="1"/>
  <c r="K25" i="1"/>
  <c r="J25" i="1"/>
  <c r="I25" i="1"/>
  <c r="H25" i="1"/>
  <c r="G25" i="1"/>
  <c r="F25" i="1"/>
  <c r="E25" i="1"/>
  <c r="D25" i="1"/>
  <c r="K24" i="1"/>
  <c r="J24" i="1"/>
  <c r="I24" i="1"/>
  <c r="H24" i="1"/>
  <c r="G24" i="1"/>
  <c r="F24" i="1"/>
  <c r="E24" i="1"/>
  <c r="D24" i="1"/>
  <c r="K23" i="1"/>
  <c r="J23" i="1"/>
  <c r="I23" i="1"/>
  <c r="H23" i="1"/>
  <c r="G23" i="1"/>
  <c r="F23" i="1"/>
  <c r="E23" i="1"/>
  <c r="D23" i="1"/>
  <c r="K22" i="1"/>
  <c r="J22" i="1"/>
  <c r="I22" i="1"/>
  <c r="H22" i="1"/>
  <c r="G22" i="1"/>
  <c r="F22" i="1"/>
  <c r="E22" i="1"/>
  <c r="D22" i="1"/>
  <c r="K21" i="1"/>
  <c r="J21" i="1"/>
  <c r="I21" i="1"/>
  <c r="H21" i="1"/>
  <c r="G21" i="1"/>
  <c r="F21" i="1"/>
  <c r="E21" i="1"/>
  <c r="D21" i="1"/>
  <c r="K20" i="1"/>
  <c r="J20" i="1"/>
  <c r="I20" i="1"/>
  <c r="H20" i="1"/>
  <c r="G20" i="1"/>
  <c r="F20" i="1"/>
  <c r="E20" i="1"/>
  <c r="D20" i="1"/>
  <c r="K19" i="1"/>
  <c r="J19" i="1"/>
  <c r="I19" i="1"/>
  <c r="H19" i="1"/>
  <c r="G19" i="1"/>
  <c r="F19" i="1"/>
  <c r="E19" i="1"/>
  <c r="D19" i="1"/>
  <c r="K18" i="1"/>
  <c r="J18" i="1"/>
  <c r="I18" i="1"/>
  <c r="H18" i="1"/>
  <c r="G18" i="1"/>
  <c r="F18" i="1"/>
  <c r="E18" i="1"/>
  <c r="D18" i="1"/>
  <c r="K17" i="1"/>
  <c r="J17" i="1"/>
  <c r="I17" i="1"/>
  <c r="H17" i="1"/>
  <c r="G17" i="1"/>
  <c r="F17" i="1"/>
  <c r="E17" i="1"/>
  <c r="D17" i="1"/>
  <c r="K16" i="1"/>
  <c r="J16" i="1"/>
  <c r="I16" i="1"/>
  <c r="H16" i="1"/>
  <c r="G16" i="1"/>
  <c r="F16" i="1"/>
  <c r="E16" i="1"/>
  <c r="D16" i="1"/>
  <c r="K15" i="1"/>
  <c r="J15" i="1"/>
  <c r="I15" i="1"/>
  <c r="H15" i="1"/>
  <c r="G15" i="1"/>
  <c r="F15" i="1"/>
  <c r="E15" i="1"/>
  <c r="D15" i="1"/>
  <c r="K14" i="1"/>
  <c r="J14" i="1"/>
  <c r="I14" i="1"/>
  <c r="H14" i="1"/>
  <c r="G14" i="1"/>
  <c r="F14" i="1"/>
  <c r="E14" i="1"/>
  <c r="D14" i="1"/>
  <c r="K13" i="1"/>
  <c r="J13" i="1"/>
  <c r="I13" i="1"/>
  <c r="H13" i="1"/>
  <c r="G13" i="1"/>
  <c r="F13" i="1"/>
  <c r="E13" i="1"/>
  <c r="D13" i="1"/>
  <c r="K12" i="1"/>
  <c r="J12" i="1"/>
  <c r="I12" i="1"/>
  <c r="H12" i="1"/>
  <c r="G12" i="1"/>
  <c r="F12" i="1"/>
  <c r="E12" i="1"/>
  <c r="D12" i="1"/>
  <c r="K11" i="1"/>
  <c r="J11" i="1"/>
  <c r="I11" i="1"/>
  <c r="H11" i="1"/>
  <c r="G11" i="1"/>
  <c r="E11" i="1"/>
  <c r="K2" i="1"/>
  <c r="J2" i="1"/>
  <c r="I2" i="1"/>
  <c r="H2" i="1"/>
  <c r="G2" i="1"/>
  <c r="F2" i="1"/>
  <c r="E2" i="1"/>
  <c r="D2" i="1"/>
  <c r="AE23" i="1"/>
  <c r="AG19" i="1"/>
  <c r="AF15" i="1"/>
  <c r="AG23" i="1"/>
  <c r="AF19" i="1"/>
  <c r="AE15" i="1"/>
  <c r="AG27" i="1"/>
  <c r="AF23" i="1"/>
  <c r="AE19" i="1"/>
  <c r="AF27" i="1"/>
  <c r="AE27" i="1"/>
  <c r="AG15" i="1"/>
  <c r="W2" i="1"/>
  <c r="AD100" i="1"/>
  <c r="D9" i="2"/>
  <c r="C6" i="2"/>
  <c r="E9" i="2"/>
  <c r="D6" i="2"/>
  <c r="E6" i="2"/>
  <c r="V100" i="1"/>
</calcChain>
</file>

<file path=xl/sharedStrings.xml><?xml version="1.0" encoding="utf-8"?>
<sst xmlns="http://schemas.openxmlformats.org/spreadsheetml/2006/main" count="532" uniqueCount="92">
  <si>
    <t>ref</t>
    <phoneticPr fontId="5" type="noConversion"/>
  </si>
  <si>
    <t>comp</t>
    <phoneticPr fontId="5" type="noConversion"/>
  </si>
  <si>
    <t>TMuC 0.7 DCM/Ericsson</t>
  </si>
  <si>
    <t>QPISlice</t>
  </si>
  <si>
    <t>kbps</t>
  </si>
  <si>
    <t>Y psnr</t>
  </si>
  <si>
    <t>U psnr</t>
  </si>
  <si>
    <t>V psnr</t>
  </si>
  <si>
    <t>Enc T [s]</t>
  </si>
  <si>
    <t>Dec T [s]</t>
  </si>
  <si>
    <t>Enc T [h]</t>
  </si>
  <si>
    <t>Enc T</t>
  </si>
  <si>
    <t>BD-rate Y</t>
    <phoneticPr fontId="5" type="noConversion"/>
  </si>
  <si>
    <t>BD-rate U</t>
    <phoneticPr fontId="5" type="noConversion"/>
  </si>
  <si>
    <t>BD-rate V</t>
    <phoneticPr fontId="5" type="noConversion"/>
  </si>
  <si>
    <t>Class A</t>
  </si>
  <si>
    <t>S01</t>
  </si>
  <si>
    <t>4K</t>
  </si>
  <si>
    <t>Traffic</t>
  </si>
  <si>
    <t>S02</t>
  </si>
  <si>
    <t>PeopleOnStreet</t>
  </si>
  <si>
    <t>Class B</t>
  </si>
  <si>
    <t>S03</t>
  </si>
  <si>
    <t>1080p</t>
  </si>
  <si>
    <t>Kimono</t>
  </si>
  <si>
    <t>S04</t>
  </si>
  <si>
    <t>ParkScene</t>
  </si>
  <si>
    <t>S05</t>
  </si>
  <si>
    <t>Cactus</t>
  </si>
  <si>
    <t>S06</t>
  </si>
  <si>
    <t>BasketballDrive</t>
  </si>
  <si>
    <t>S07</t>
  </si>
  <si>
    <t>BQTerrace</t>
  </si>
  <si>
    <t>Class C</t>
  </si>
  <si>
    <t>S08</t>
  </si>
  <si>
    <t>WVGA</t>
  </si>
  <si>
    <t>BasketballDrill</t>
  </si>
  <si>
    <t>S09</t>
  </si>
  <si>
    <t>BQMall</t>
  </si>
  <si>
    <t>S10</t>
  </si>
  <si>
    <t>PartyScene</t>
  </si>
  <si>
    <t>S11</t>
  </si>
  <si>
    <t>RaceHorses</t>
  </si>
  <si>
    <t>Class D</t>
  </si>
  <si>
    <t>S12</t>
  </si>
  <si>
    <t>WQVGA</t>
  </si>
  <si>
    <t>BasketballPass</t>
  </si>
  <si>
    <t>S13</t>
  </si>
  <si>
    <t>BQSquare</t>
  </si>
  <si>
    <t>S14</t>
  </si>
  <si>
    <t>BlowingBubbles</t>
  </si>
  <si>
    <t>S15</t>
  </si>
  <si>
    <t>S16</t>
  </si>
  <si>
    <t>720p</t>
    <phoneticPr fontId="5" type="noConversion"/>
  </si>
  <si>
    <t>S17</t>
  </si>
  <si>
    <t>S18</t>
  </si>
  <si>
    <t>Class E</t>
  </si>
  <si>
    <t>All</t>
  </si>
  <si>
    <t>Time geomean</t>
  </si>
  <si>
    <t>Time ratio</t>
  </si>
  <si>
    <t>Time sum (hours)</t>
  </si>
  <si>
    <t>U BD-rate</t>
  </si>
  <si>
    <t>V BD-rate</t>
  </si>
  <si>
    <t>Class A</t>
    <phoneticPr fontId="7"/>
  </si>
  <si>
    <t>Class B</t>
    <phoneticPr fontId="7"/>
  </si>
  <si>
    <t>Class C</t>
    <phoneticPr fontId="7"/>
  </si>
  <si>
    <t>Class D</t>
    <phoneticPr fontId="7"/>
  </si>
  <si>
    <t>Class E</t>
    <phoneticPr fontId="7"/>
  </si>
  <si>
    <t>All</t>
    <phoneticPr fontId="7"/>
  </si>
  <si>
    <t>Enc Time[%]</t>
    <phoneticPr fontId="7"/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</si>
  <si>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VTM</t>
    </r>
    <phoneticPr fontId="5" type="noConversion"/>
  </si>
  <si>
    <t>Enc X times</t>
    <phoneticPr fontId="5" type="noConversion"/>
  </si>
  <si>
    <t>FourPeople</t>
  </si>
  <si>
    <t>Johnny</t>
  </si>
  <si>
    <t>KristenAndSara</t>
  </si>
  <si>
    <t>Class E</t>
    <phoneticPr fontId="2" type="noConversion"/>
  </si>
  <si>
    <t>Class F</t>
    <phoneticPr fontId="2" type="noConversion"/>
  </si>
  <si>
    <t>SC</t>
    <phoneticPr fontId="2" type="noConversion"/>
  </si>
  <si>
    <t>S19</t>
    <phoneticPr fontId="2" type="noConversion"/>
  </si>
  <si>
    <t>S20</t>
    <phoneticPr fontId="2" type="noConversion"/>
  </si>
  <si>
    <t>S21</t>
    <phoneticPr fontId="2" type="noConversion"/>
  </si>
  <si>
    <t>S22</t>
    <phoneticPr fontId="2" type="noConversion"/>
  </si>
  <si>
    <t>BasketballDrillText</t>
  </si>
  <si>
    <t>ChinaSpeed</t>
  </si>
  <si>
    <t>SlideEditing</t>
  </si>
  <si>
    <t>SlideShow</t>
  </si>
  <si>
    <t>All C~F</t>
    <phoneticPr fontId="2" type="noConversion"/>
  </si>
  <si>
    <t>All C~F</t>
    <phoneticPr fontId="7"/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</si>
  <si>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VVenC_Slow</t>
    </r>
    <phoneticPr fontId="5" type="noConversion"/>
  </si>
  <si>
    <r>
      <rPr>
        <b/>
        <sz val="8"/>
        <rFont val="宋体"/>
        <family val="3"/>
        <charset val="134"/>
      </rPr>
      <t>对照组</t>
    </r>
    <r>
      <rPr>
        <b/>
        <sz val="8"/>
        <rFont val="Arial"/>
        <family val="2"/>
      </rPr>
      <t xml:space="preserve"> - HM</t>
    </r>
    <phoneticPr fontId="2" type="noConversion"/>
  </si>
  <si>
    <t>Y BD-rate</t>
    <phoneticPr fontId="2" type="noConversion"/>
  </si>
  <si>
    <t>HM-VTM-RA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</si>
</sst>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0_ "/>
    <numFmt numFmtId="178" formatCode="0.0"/>
    <numFmt numFmtId="179" formatCode="0_ "/>
    <numFmt numFmtId="180" formatCode="0_);[Red]\(0\)"/>
    <numFmt numFmtId="181" formatCode="0.0_ "/>
  </numFmts>
  <fonts count="1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name val="Arial"/>
      <family val="2"/>
    </font>
    <font>
      <b/>
      <sz val="8"/>
      <name val="Arial"/>
      <family val="2"/>
    </font>
    <font>
      <sz val="8"/>
      <name val="돋움"/>
      <family val="2"/>
      <charset val="129"/>
    </font>
    <font>
      <b/>
      <sz val="8"/>
      <color indexed="10"/>
      <name val="Arial"/>
      <family val="2"/>
    </font>
    <font>
      <sz val="6"/>
      <name val="ＭＳ Ｐゴシック"/>
      <family val="3"/>
      <charset val="128"/>
    </font>
    <font>
      <b/>
      <sz val="8"/>
      <name val="宋体"/>
      <family val="3"/>
      <charset val="134"/>
    </font>
    <font>
      <b/>
      <sz val="8"/>
      <name val="Arial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3" fillId="0" borderId="0" xfId="0" applyFont="1" applyAlignment="1"/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6" fillId="0" borderId="5" xfId="0" applyFont="1" applyBorder="1" applyAlignment="1">
      <alignment horizontal="left" indent="1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/>
    <xf numFmtId="176" fontId="3" fillId="2" borderId="10" xfId="0" applyNumberFormat="1" applyFont="1" applyFill="1" applyBorder="1" applyAlignment="1">
      <alignment horizontal="right" vertical="center"/>
    </xf>
    <xf numFmtId="176" fontId="3" fillId="2" borderId="11" xfId="0" applyNumberFormat="1" applyFont="1" applyFill="1" applyBorder="1" applyAlignment="1">
      <alignment horizontal="right" vertical="center"/>
    </xf>
    <xf numFmtId="177" fontId="3" fillId="2" borderId="12" xfId="0" applyNumberFormat="1" applyFont="1" applyFill="1" applyBorder="1" applyAlignment="1"/>
    <xf numFmtId="177" fontId="3" fillId="2" borderId="0" xfId="0" applyNumberFormat="1" applyFont="1" applyFill="1" applyAlignment="1" applyProtection="1">
      <protection locked="0"/>
    </xf>
    <xf numFmtId="177" fontId="3" fillId="3" borderId="0" xfId="0" applyNumberFormat="1" applyFont="1" applyFill="1" applyAlignment="1" applyProtection="1">
      <protection locked="0"/>
    </xf>
    <xf numFmtId="177" fontId="3" fillId="2" borderId="0" xfId="0" applyNumberFormat="1" applyFont="1" applyFill="1" applyAlignment="1"/>
    <xf numFmtId="178" fontId="3" fillId="0" borderId="5" xfId="0" applyNumberFormat="1" applyFont="1" applyBorder="1" applyAlignment="1"/>
    <xf numFmtId="0" fontId="3" fillId="0" borderId="13" xfId="0" applyFont="1" applyBorder="1" applyAlignment="1"/>
    <xf numFmtId="177" fontId="6" fillId="0" borderId="13" xfId="0" applyNumberFormat="1" applyFont="1" applyBorder="1" applyAlignment="1">
      <alignment horizontal="left" indent="1"/>
    </xf>
    <xf numFmtId="177" fontId="3" fillId="0" borderId="13" xfId="0" applyNumberFormat="1" applyFont="1" applyBorder="1" applyAlignment="1"/>
    <xf numFmtId="0" fontId="3" fillId="0" borderId="14" xfId="0" applyFont="1" applyBorder="1" applyAlignment="1"/>
    <xf numFmtId="176" fontId="3" fillId="2" borderId="15" xfId="0" applyNumberFormat="1" applyFont="1" applyFill="1" applyBorder="1" applyAlignment="1">
      <alignment horizontal="right" vertical="center"/>
    </xf>
    <xf numFmtId="176" fontId="3" fillId="2" borderId="16" xfId="0" applyNumberFormat="1" applyFont="1" applyFill="1" applyBorder="1" applyAlignment="1">
      <alignment horizontal="right" vertical="center"/>
    </xf>
    <xf numFmtId="177" fontId="3" fillId="2" borderId="17" xfId="0" applyNumberFormat="1" applyFont="1" applyFill="1" applyBorder="1" applyAlignment="1"/>
    <xf numFmtId="177" fontId="3" fillId="2" borderId="17" xfId="0" applyNumberFormat="1" applyFont="1" applyFill="1" applyBorder="1" applyAlignment="1" applyProtection="1">
      <protection locked="0"/>
    </xf>
    <xf numFmtId="177" fontId="3" fillId="3" borderId="17" xfId="0" applyNumberFormat="1" applyFont="1" applyFill="1" applyBorder="1" applyAlignment="1" applyProtection="1">
      <protection locked="0"/>
    </xf>
    <xf numFmtId="177" fontId="3" fillId="2" borderId="12" xfId="0" applyNumberFormat="1" applyFont="1" applyFill="1" applyBorder="1" applyAlignment="1" applyProtection="1">
      <protection locked="0"/>
    </xf>
    <xf numFmtId="176" fontId="3" fillId="2" borderId="1" xfId="0" applyNumberFormat="1" applyFont="1" applyFill="1" applyBorder="1" applyAlignment="1">
      <alignment horizontal="right" vertical="center"/>
    </xf>
    <xf numFmtId="176" fontId="3" fillId="2" borderId="18" xfId="0" applyNumberFormat="1" applyFont="1" applyFill="1" applyBorder="1" applyAlignment="1">
      <alignment horizontal="right" vertical="center"/>
    </xf>
    <xf numFmtId="176" fontId="3" fillId="2" borderId="1" xfId="1" applyNumberFormat="1" applyFont="1" applyFill="1" applyBorder="1" applyAlignment="1">
      <alignment horizontal="right" vertical="center"/>
    </xf>
    <xf numFmtId="176" fontId="3" fillId="2" borderId="18" xfId="1" applyNumberFormat="1" applyFont="1" applyFill="1" applyBorder="1" applyAlignment="1">
      <alignment horizontal="right" vertical="center"/>
    </xf>
    <xf numFmtId="176" fontId="3" fillId="2" borderId="10" xfId="1" applyNumberFormat="1" applyFont="1" applyFill="1" applyBorder="1" applyAlignment="1">
      <alignment horizontal="right" vertical="center"/>
    </xf>
    <xf numFmtId="176" fontId="3" fillId="2" borderId="11" xfId="1" applyNumberFormat="1" applyFont="1" applyFill="1" applyBorder="1" applyAlignment="1">
      <alignment horizontal="right" vertical="center"/>
    </xf>
    <xf numFmtId="176" fontId="3" fillId="2" borderId="15" xfId="1" applyNumberFormat="1" applyFont="1" applyFill="1" applyBorder="1" applyAlignment="1">
      <alignment horizontal="right" vertical="center"/>
    </xf>
    <xf numFmtId="176" fontId="3" fillId="2" borderId="16" xfId="1" applyNumberFormat="1" applyFont="1" applyFill="1" applyBorder="1" applyAlignment="1">
      <alignment horizontal="right" vertical="center"/>
    </xf>
    <xf numFmtId="176" fontId="3" fillId="2" borderId="19" xfId="0" applyNumberFormat="1" applyFont="1" applyFill="1" applyBorder="1" applyAlignment="1">
      <alignment horizontal="right" vertical="center"/>
    </xf>
    <xf numFmtId="176" fontId="3" fillId="2" borderId="20" xfId="0" applyNumberFormat="1" applyFont="1" applyFill="1" applyBorder="1" applyAlignment="1">
      <alignment horizontal="right" vertical="center"/>
    </xf>
    <xf numFmtId="179" fontId="3" fillId="0" borderId="1" xfId="0" applyNumberFormat="1" applyFont="1" applyBorder="1" applyAlignment="1">
      <alignment horizontal="right" vertical="center"/>
    </xf>
    <xf numFmtId="180" fontId="3" fillId="0" borderId="0" xfId="0" applyNumberFormat="1" applyFont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177" fontId="3" fillId="0" borderId="0" xfId="0" applyNumberFormat="1" applyFont="1" applyAlignment="1"/>
    <xf numFmtId="178" fontId="3" fillId="0" borderId="0" xfId="0" applyNumberFormat="1" applyFont="1" applyAlignment="1"/>
    <xf numFmtId="179" fontId="3" fillId="0" borderId="10" xfId="0" applyNumberFormat="1" applyFont="1" applyBorder="1" applyAlignment="1">
      <alignment horizontal="right" vertical="center"/>
    </xf>
    <xf numFmtId="0" fontId="3" fillId="4" borderId="0" xfId="0" applyFont="1" applyFill="1" applyAlignment="1"/>
    <xf numFmtId="0" fontId="3" fillId="4" borderId="10" xfId="0" applyFont="1" applyFill="1" applyBorder="1" applyAlignment="1">
      <alignment horizontal="right" vertic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77" fontId="3" fillId="4" borderId="0" xfId="0" applyNumberFormat="1" applyFont="1" applyFill="1" applyAlignment="1"/>
    <xf numFmtId="178" fontId="3" fillId="4" borderId="0" xfId="0" applyNumberFormat="1" applyFont="1" applyFill="1" applyAlignment="1"/>
    <xf numFmtId="0" fontId="3" fillId="0" borderId="1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/>
    <xf numFmtId="0" fontId="0" fillId="0" borderId="0" xfId="0" applyAlignment="1"/>
    <xf numFmtId="0" fontId="0" fillId="0" borderId="21" xfId="0" applyBorder="1" applyAlignment="1"/>
    <xf numFmtId="0" fontId="0" fillId="0" borderId="21" xfId="0" applyBorder="1" applyAlignment="1">
      <alignment horizontal="center"/>
    </xf>
    <xf numFmtId="181" fontId="0" fillId="0" borderId="21" xfId="0" applyNumberFormat="1" applyBorder="1" applyAlignment="1"/>
    <xf numFmtId="0" fontId="0" fillId="0" borderId="21" xfId="0" applyBorder="1" applyAlignment="1">
      <alignment horizontal="center"/>
    </xf>
    <xf numFmtId="9" fontId="0" fillId="0" borderId="21" xfId="0" applyNumberForma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3" fillId="5" borderId="0" xfId="0" applyFont="1" applyFill="1" applyAlignment="1"/>
    <xf numFmtId="0" fontId="3" fillId="5" borderId="10" xfId="0" applyFont="1" applyFill="1" applyBorder="1" applyAlignment="1">
      <alignment horizontal="right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77" fontId="3" fillId="5" borderId="0" xfId="0" applyNumberFormat="1" applyFont="1" applyFill="1" applyAlignment="1"/>
    <xf numFmtId="178" fontId="3" fillId="5" borderId="0" xfId="0" applyNumberFormat="1" applyFont="1" applyFill="1" applyAlignment="1"/>
    <xf numFmtId="9" fontId="3" fillId="5" borderId="0" xfId="0" applyNumberFormat="1" applyFont="1" applyFill="1" applyAlignment="1"/>
    <xf numFmtId="178" fontId="3" fillId="0" borderId="9" xfId="0" applyNumberFormat="1" applyFont="1" applyBorder="1" applyAlignment="1"/>
  </cellXfs>
  <cellStyles count="2">
    <cellStyle name="百分比" xfId="1" builtinId="5"/>
    <cellStyle name="常规" xfId="0" builtinId="0"/>
  </cellStyles>
  <dxfs count="126"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46DB-6032-40CC-A10B-FCE8E4EAC345}">
  <sheetPr codeName="Sheet2"/>
  <dimension ref="A1:I35"/>
  <sheetViews>
    <sheetView tabSelected="1" workbookViewId="0">
      <selection activeCell="G26" sqref="G26"/>
    </sheetView>
  </sheetViews>
  <sheetFormatPr defaultColWidth="8.375" defaultRowHeight="14.25"/>
  <cols>
    <col min="1" max="1" width="8.375" style="56"/>
    <col min="2" max="2" width="11.25" style="56" bestFit="1" customWidth="1"/>
    <col min="3" max="5" width="8.375" style="56"/>
    <col min="10" max="16384" width="8.375" style="56"/>
  </cols>
  <sheetData>
    <row r="1" spans="2:9">
      <c r="I1" s="56"/>
    </row>
    <row r="2" spans="2:9">
      <c r="B2" s="60"/>
      <c r="C2" s="60" t="s">
        <v>91</v>
      </c>
      <c r="D2" s="60"/>
      <c r="E2" s="60"/>
    </row>
    <row r="3" spans="2:9">
      <c r="B3" s="60"/>
      <c r="C3" s="58" t="s">
        <v>90</v>
      </c>
      <c r="D3" s="58" t="s">
        <v>61</v>
      </c>
      <c r="E3" s="58" t="s">
        <v>62</v>
      </c>
    </row>
    <row r="4" spans="2:9">
      <c r="B4" s="57" t="s">
        <v>63</v>
      </c>
      <c r="C4" s="59" t="e">
        <f>'HM-VTM-RA'!$AE91</f>
        <v>#VALUE!</v>
      </c>
      <c r="D4" s="59" t="e">
        <f>'HM-VTM-RA'!$AF91</f>
        <v>#VALUE!</v>
      </c>
      <c r="E4" s="59" t="e">
        <f>'HM-VTM-RA'!$AG91</f>
        <v>#VALUE!</v>
      </c>
    </row>
    <row r="5" spans="2:9">
      <c r="B5" s="57" t="s">
        <v>64</v>
      </c>
      <c r="C5" s="59" t="e">
        <f>'HM-VTM-RA'!$AE92</f>
        <v>#VALUE!</v>
      </c>
      <c r="D5" s="59" t="e">
        <f>'HM-VTM-RA'!$AF92</f>
        <v>#VALUE!</v>
      </c>
      <c r="E5" s="59" t="e">
        <f>'HM-VTM-RA'!$AG92</f>
        <v>#VALUE!</v>
      </c>
    </row>
    <row r="6" spans="2:9">
      <c r="B6" s="57" t="s">
        <v>65</v>
      </c>
      <c r="C6" s="59">
        <f>'HM-VTM-RA'!$AE93</f>
        <v>-29.957796715607778</v>
      </c>
      <c r="D6" s="59">
        <f>'HM-VTM-RA'!$AF93</f>
        <v>-30.647224953038332</v>
      </c>
      <c r="E6" s="59">
        <f>'HM-VTM-RA'!$AG93</f>
        <v>-33.388972642353892</v>
      </c>
    </row>
    <row r="7" spans="2:9">
      <c r="B7" s="57" t="s">
        <v>66</v>
      </c>
      <c r="C7" s="59">
        <f>'HM-VTM-RA'!$AE94</f>
        <v>-25.820656692264876</v>
      </c>
      <c r="D7" s="59">
        <f>'HM-VTM-RA'!$AF94</f>
        <v>-26.656242365862269</v>
      </c>
      <c r="E7" s="59">
        <f>'HM-VTM-RA'!$AG94</f>
        <v>-27.244797438358042</v>
      </c>
    </row>
    <row r="8" spans="2:9">
      <c r="B8" s="57" t="s">
        <v>67</v>
      </c>
      <c r="C8" s="59">
        <f>'HM-VTM-RA'!$AE95</f>
        <v>-36.294135489839874</v>
      </c>
      <c r="D8" s="59">
        <f>'HM-VTM-RA'!$AF95</f>
        <v>-44.029465850715319</v>
      </c>
      <c r="E8" s="59">
        <f>'HM-VTM-RA'!$AG95</f>
        <v>-42.77632639888747</v>
      </c>
    </row>
    <row r="9" spans="2:9">
      <c r="B9" s="57" t="s">
        <v>68</v>
      </c>
      <c r="C9" s="59" t="e">
        <f>'HM-VTM-RA'!$AE97</f>
        <v>#VALUE!</v>
      </c>
      <c r="D9" s="59" t="e">
        <f>'HM-VTM-RA'!$AF97</f>
        <v>#VALUE!</v>
      </c>
      <c r="E9" s="59" t="e">
        <f>'HM-VTM-RA'!$AG97</f>
        <v>#VALUE!</v>
      </c>
    </row>
    <row r="10" spans="2:9">
      <c r="B10" s="57" t="s">
        <v>87</v>
      </c>
      <c r="C10" s="59">
        <f>'HM-VTM-RA'!$AE101</f>
        <v>-31.350486023459464</v>
      </c>
      <c r="D10" s="59">
        <f>'HM-VTM-RA'!$AF101</f>
        <v>-34.716233235385694</v>
      </c>
      <c r="E10" s="59">
        <f>'HM-VTM-RA'!$AG101</f>
        <v>-35.348150648170424</v>
      </c>
    </row>
    <row r="11" spans="2:9">
      <c r="B11" s="57" t="s">
        <v>69</v>
      </c>
      <c r="C11" s="61">
        <f>'HM-VTM-RA'!$AD103</f>
        <v>8.7329059155873452</v>
      </c>
      <c r="D11" s="61"/>
      <c r="E11" s="61"/>
    </row>
    <row r="13" spans="2:9">
      <c r="F13" s="56"/>
      <c r="G13" s="56"/>
      <c r="H13" s="56"/>
      <c r="I13" s="56"/>
    </row>
    <row r="14" spans="2:9">
      <c r="F14" s="56"/>
      <c r="G14" s="56"/>
      <c r="H14" s="56"/>
      <c r="I14" s="56"/>
    </row>
    <row r="15" spans="2:9">
      <c r="F15" s="56"/>
      <c r="G15" s="56"/>
      <c r="H15" s="56"/>
      <c r="I15" s="56"/>
    </row>
    <row r="16" spans="2:9">
      <c r="F16" s="56"/>
      <c r="G16" s="56"/>
      <c r="H16" s="56"/>
      <c r="I16" s="56"/>
    </row>
    <row r="17" spans="1:9">
      <c r="F17" s="56"/>
      <c r="G17" s="56"/>
      <c r="H17" s="56"/>
      <c r="I17" s="56"/>
    </row>
    <row r="18" spans="1:9">
      <c r="F18" s="56"/>
      <c r="G18" s="56"/>
      <c r="H18" s="56"/>
      <c r="I18" s="56"/>
    </row>
    <row r="19" spans="1:9">
      <c r="F19" s="56"/>
      <c r="G19" s="56"/>
      <c r="H19" s="56"/>
      <c r="I19" s="56"/>
    </row>
    <row r="20" spans="1:9">
      <c r="F20" s="56"/>
      <c r="G20" s="56"/>
      <c r="H20" s="56"/>
      <c r="I20" s="56"/>
    </row>
    <row r="21" spans="1:9">
      <c r="F21" s="56"/>
      <c r="G21" s="56"/>
      <c r="H21" s="56"/>
      <c r="I21" s="56"/>
    </row>
    <row r="22" spans="1:9">
      <c r="F22" s="56"/>
      <c r="G22" s="56"/>
      <c r="H22" s="56"/>
      <c r="I22" s="56"/>
    </row>
    <row r="23" spans="1:9">
      <c r="F23" s="56"/>
      <c r="G23" s="56"/>
      <c r="H23" s="56"/>
      <c r="I23" s="56"/>
    </row>
    <row r="24" spans="1:9">
      <c r="F24" s="56"/>
      <c r="G24" s="56"/>
      <c r="H24" s="56"/>
      <c r="I24" s="56"/>
    </row>
    <row r="25" spans="1:9">
      <c r="F25" s="56"/>
      <c r="G25" s="56"/>
      <c r="H25" s="56"/>
      <c r="I25" s="56"/>
    </row>
    <row r="26" spans="1:9">
      <c r="F26" s="56"/>
      <c r="G26" s="56"/>
      <c r="H26" s="56"/>
      <c r="I26" s="56"/>
    </row>
    <row r="27" spans="1:9">
      <c r="F27" s="56"/>
      <c r="G27" s="56"/>
      <c r="H27" s="56"/>
      <c r="I27" s="56"/>
    </row>
    <row r="28" spans="1:9">
      <c r="F28" s="56"/>
      <c r="G28" s="56"/>
      <c r="H28" s="56"/>
      <c r="I28" s="56"/>
    </row>
    <row r="29" spans="1:9">
      <c r="F29" s="56"/>
      <c r="G29" s="56"/>
      <c r="H29" s="56"/>
      <c r="I29" s="56"/>
    </row>
    <row r="30" spans="1:9">
      <c r="A30"/>
      <c r="B30"/>
      <c r="C30"/>
      <c r="F30" s="56"/>
      <c r="G30" s="56"/>
      <c r="H30" s="56"/>
      <c r="I30" s="56"/>
    </row>
    <row r="31" spans="1:9">
      <c r="A31"/>
      <c r="B31"/>
      <c r="C31"/>
      <c r="F31" s="56"/>
      <c r="G31" s="56"/>
      <c r="H31" s="56"/>
      <c r="I31" s="56"/>
    </row>
    <row r="32" spans="1:9">
      <c r="A32"/>
      <c r="B32"/>
      <c r="C32"/>
      <c r="F32" s="56"/>
      <c r="G32" s="56"/>
      <c r="H32" s="56"/>
      <c r="I32" s="56"/>
    </row>
    <row r="33" spans="1:9">
      <c r="A33"/>
      <c r="B33"/>
      <c r="C33"/>
      <c r="F33" s="56"/>
      <c r="G33" s="56"/>
      <c r="H33" s="56"/>
      <c r="I33" s="56"/>
    </row>
    <row r="34" spans="1:9">
      <c r="A34"/>
      <c r="B34"/>
      <c r="C34"/>
      <c r="F34" s="56"/>
      <c r="G34" s="56"/>
      <c r="H34" s="56"/>
      <c r="I34" s="56"/>
    </row>
    <row r="35" spans="1:9">
      <c r="A35"/>
      <c r="B35"/>
      <c r="C35"/>
      <c r="F35" s="56"/>
      <c r="G35" s="56"/>
      <c r="H35" s="56"/>
      <c r="I35" s="56"/>
    </row>
  </sheetData>
  <mergeCells count="3">
    <mergeCell ref="B2:B3"/>
    <mergeCell ref="C2:E2"/>
    <mergeCell ref="C11:E11"/>
  </mergeCells>
  <phoneticPr fontId="2" type="noConversion"/>
  <conditionalFormatting sqref="C4:E10">
    <cfRule type="cellIs" dxfId="125" priority="13" stopIfTrue="1" operator="between">
      <formula>-1</formula>
      <formula>1</formula>
    </cfRule>
    <cfRule type="cellIs" dxfId="124" priority="14" stopIfTrue="1" operator="lessThan">
      <formula>-3</formula>
    </cfRule>
    <cfRule type="cellIs" dxfId="123" priority="15" stopIfTrue="1" operator="greaterThan">
      <formula>3</formula>
    </cfRule>
  </conditionalFormatting>
  <conditionalFormatting sqref="C10:E10">
    <cfRule type="cellIs" dxfId="122" priority="7" stopIfTrue="1" operator="between">
      <formula>-1</formula>
      <formula>1</formula>
    </cfRule>
    <cfRule type="cellIs" dxfId="121" priority="8" stopIfTrue="1" operator="lessThan">
      <formula>-3</formula>
    </cfRule>
    <cfRule type="cellIs" dxfId="120" priority="9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2E87-8AA5-4189-9668-92075D683AA0}">
  <sheetPr codeName="Sheet1"/>
  <dimension ref="A1:AH104"/>
  <sheetViews>
    <sheetView topLeftCell="A61" workbookViewId="0">
      <selection activeCell="AD103" sqref="AD103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62" t="s">
        <v>2</v>
      </c>
      <c r="M1" s="63"/>
      <c r="N1" s="63"/>
      <c r="O1" s="64"/>
      <c r="P1" s="65" t="s">
        <v>89</v>
      </c>
      <c r="Q1" s="66"/>
      <c r="R1" s="66"/>
      <c r="S1" s="66"/>
      <c r="T1" s="66"/>
      <c r="U1" s="66"/>
      <c r="V1" s="66"/>
      <c r="W1" s="66"/>
      <c r="X1" s="67" t="s">
        <v>70</v>
      </c>
      <c r="Y1" s="68"/>
      <c r="Z1" s="68"/>
      <c r="AA1" s="68"/>
      <c r="AB1" s="68"/>
      <c r="AC1" s="68"/>
      <c r="AD1" s="68"/>
      <c r="AE1" s="68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14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ref="AH15:AH21" si="12">AB15/T15</f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2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2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2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2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2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2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ref="H23:H30" si="13">X23</f>
        <v>0</v>
      </c>
      <c r="I23" s="32">
        <f t="shared" ref="I23:I30" si="14">Z23</f>
        <v>0</v>
      </c>
      <c r="J23" s="32">
        <f t="shared" ref="J23:J30" si="15">X23</f>
        <v>0</v>
      </c>
      <c r="K23" s="33">
        <f t="shared" ref="K23:K30" si="16">AA23</f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ref="AD23:AD30" si="17">AB23/3600</f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13"/>
        <v>0</v>
      </c>
      <c r="I24" s="34">
        <f t="shared" si="14"/>
        <v>0</v>
      </c>
      <c r="J24" s="34">
        <f t="shared" si="15"/>
        <v>0</v>
      </c>
      <c r="K24" s="35">
        <f t="shared" si="16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7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13"/>
        <v>0</v>
      </c>
      <c r="I25" s="34">
        <f t="shared" si="14"/>
        <v>0</v>
      </c>
      <c r="J25" s="34">
        <f t="shared" si="15"/>
        <v>0</v>
      </c>
      <c r="K25" s="35">
        <f t="shared" si="16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7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13"/>
        <v>0</v>
      </c>
      <c r="I26" s="36">
        <f t="shared" si="14"/>
        <v>0</v>
      </c>
      <c r="J26" s="36">
        <f t="shared" si="15"/>
        <v>0</v>
      </c>
      <c r="K26" s="37">
        <f t="shared" si="16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7"/>
        <v>0</v>
      </c>
      <c r="AE26" s="23"/>
      <c r="AF26" s="23"/>
      <c r="AG26" s="23"/>
      <c r="AH26" s="19" t="e">
        <f t="shared" ref="AH26:AH74" si="18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13"/>
        <v>0</v>
      </c>
      <c r="I27" s="32">
        <f t="shared" si="14"/>
        <v>0</v>
      </c>
      <c r="J27" s="32">
        <f t="shared" si="15"/>
        <v>0</v>
      </c>
      <c r="K27" s="33">
        <f t="shared" si="16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7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8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13"/>
        <v>0</v>
      </c>
      <c r="I28" s="34">
        <f t="shared" si="14"/>
        <v>0</v>
      </c>
      <c r="J28" s="34">
        <f t="shared" si="15"/>
        <v>0</v>
      </c>
      <c r="K28" s="35">
        <f t="shared" si="16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7"/>
        <v>0</v>
      </c>
      <c r="AE28" s="22"/>
      <c r="AF28" s="22"/>
      <c r="AG28" s="22"/>
      <c r="AH28" s="19" t="e">
        <f t="shared" si="18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13"/>
        <v>0</v>
      </c>
      <c r="I29" s="34">
        <f t="shared" si="14"/>
        <v>0</v>
      </c>
      <c r="J29" s="34">
        <f t="shared" si="15"/>
        <v>0</v>
      </c>
      <c r="K29" s="35">
        <f t="shared" si="16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7"/>
        <v>0</v>
      </c>
      <c r="AE29" s="22"/>
      <c r="AF29" s="22"/>
      <c r="AG29" s="22"/>
      <c r="AH29" s="19" t="e">
        <f t="shared" si="18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13"/>
        <v>0</v>
      </c>
      <c r="I30" s="36">
        <f t="shared" si="14"/>
        <v>0</v>
      </c>
      <c r="J30" s="36">
        <f t="shared" si="15"/>
        <v>0</v>
      </c>
      <c r="K30" s="37">
        <f t="shared" si="16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7"/>
        <v>0</v>
      </c>
      <c r="AE30" s="23"/>
      <c r="AF30" s="23"/>
      <c r="AG30" s="23"/>
      <c r="AH30" s="19" t="e">
        <f t="shared" si="18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2638.125</v>
      </c>
      <c r="I31" s="32">
        <f t="shared" si="5"/>
        <v>44.275399999999998</v>
      </c>
      <c r="J31" s="32">
        <f t="shared" si="6"/>
        <v>2638.125</v>
      </c>
      <c r="K31" s="33">
        <f t="shared" si="7"/>
        <v>45.094499999999996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2638.125</v>
      </c>
      <c r="Y31" s="29">
        <v>41.688800000000001</v>
      </c>
      <c r="Z31" s="29">
        <v>44.275399999999998</v>
      </c>
      <c r="AA31" s="29">
        <v>45.094499999999996</v>
      </c>
      <c r="AB31" s="29">
        <v>2806.1559999999999</v>
      </c>
      <c r="AC31" s="29"/>
      <c r="AD31" s="15">
        <f t="shared" si="10"/>
        <v>0.77948777777777778</v>
      </c>
      <c r="AE31" s="19">
        <f>RBJM($P31:$Q34,X31:Y34)</f>
        <v>-34.924441108870816</v>
      </c>
      <c r="AF31" s="19">
        <f>RBJM($D31:$E34,H31:I34)</f>
        <v>-37.229471051992959</v>
      </c>
      <c r="AG31" s="19">
        <f>RBJM($F31:$G34,J31:K34)</f>
        <v>-41.561134391156344</v>
      </c>
      <c r="AH31" s="19">
        <f t="shared" si="18"/>
        <v>17.016700423271438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1239.325</v>
      </c>
      <c r="I32" s="34">
        <f t="shared" si="5"/>
        <v>41.996499999999997</v>
      </c>
      <c r="J32" s="34">
        <f t="shared" si="6"/>
        <v>1239.325</v>
      </c>
      <c r="K32" s="35">
        <f t="shared" si="7"/>
        <v>42.430700000000002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1239.325</v>
      </c>
      <c r="Y32" s="16">
        <v>38.696599999999997</v>
      </c>
      <c r="Z32" s="16">
        <v>41.996499999999997</v>
      </c>
      <c r="AA32" s="16">
        <v>42.430700000000002</v>
      </c>
      <c r="AB32" s="16">
        <v>1860.1089999999999</v>
      </c>
      <c r="AC32" s="16"/>
      <c r="AD32" s="18">
        <f t="shared" si="10"/>
        <v>0.51669694444444447</v>
      </c>
      <c r="AE32" s="22"/>
      <c r="AF32" s="22"/>
      <c r="AG32" s="22"/>
      <c r="AH32" s="19">
        <f t="shared" si="18"/>
        <v>14.398465801777256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614.8125</v>
      </c>
      <c r="I33" s="34">
        <f t="shared" si="5"/>
        <v>39.885399999999997</v>
      </c>
      <c r="J33" s="34">
        <f t="shared" si="6"/>
        <v>614.8125</v>
      </c>
      <c r="K33" s="35">
        <f t="shared" si="7"/>
        <v>40.1312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614.8125</v>
      </c>
      <c r="Y33" s="16">
        <v>35.814900000000002</v>
      </c>
      <c r="Z33" s="16">
        <v>39.885399999999997</v>
      </c>
      <c r="AA33" s="16">
        <v>40.1312</v>
      </c>
      <c r="AB33" s="16">
        <v>1212.625</v>
      </c>
      <c r="AC33" s="16"/>
      <c r="AD33" s="18">
        <f t="shared" si="10"/>
        <v>0.33684027777777775</v>
      </c>
      <c r="AE33" s="22"/>
      <c r="AF33" s="22"/>
      <c r="AG33" s="22"/>
      <c r="AH33" s="19">
        <f t="shared" si="18"/>
        <v>10.830006519661692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324.66250000000002</v>
      </c>
      <c r="I34" s="36">
        <f t="shared" si="5"/>
        <v>38.136200000000002</v>
      </c>
      <c r="J34" s="36">
        <f t="shared" si="6"/>
        <v>324.66250000000002</v>
      </c>
      <c r="K34" s="37">
        <f t="shared" si="7"/>
        <v>38.198099999999997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324.66250000000002</v>
      </c>
      <c r="Y34" s="27">
        <v>33.269399999999997</v>
      </c>
      <c r="Z34" s="27">
        <v>38.136200000000002</v>
      </c>
      <c r="AA34" s="27">
        <v>38.198099999999997</v>
      </c>
      <c r="AB34" s="27">
        <v>720.26599999999996</v>
      </c>
      <c r="AC34" s="27"/>
      <c r="AD34" s="26">
        <f t="shared" si="10"/>
        <v>0.20007388888888888</v>
      </c>
      <c r="AE34" s="23"/>
      <c r="AF34" s="23"/>
      <c r="AG34" s="23"/>
      <c r="AH34" s="19">
        <f t="shared" si="18"/>
        <v>7.2297716436637387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3246.03</v>
      </c>
      <c r="I35" s="32">
        <f t="shared" si="5"/>
        <v>43.947899999999997</v>
      </c>
      <c r="J35" s="32">
        <f t="shared" si="6"/>
        <v>3246.03</v>
      </c>
      <c r="K35" s="33">
        <f t="shared" si="7"/>
        <v>45.4985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3246.03</v>
      </c>
      <c r="Y35" s="29">
        <v>40.1815</v>
      </c>
      <c r="Z35" s="29">
        <v>43.947899999999997</v>
      </c>
      <c r="AA35" s="29">
        <v>45.4985</v>
      </c>
      <c r="AB35" s="29">
        <v>2156.3119999999999</v>
      </c>
      <c r="AC35" s="29"/>
      <c r="AD35" s="15">
        <f t="shared" si="10"/>
        <v>0.59897555555555548</v>
      </c>
      <c r="AE35" s="19">
        <f>RBJM($P35:$Q38,X35:Y38)</f>
        <v>-31.923210692954896</v>
      </c>
      <c r="AF35" s="19">
        <f>RBJM($D35:$E38,H35:I38)</f>
        <v>-38.709376983028974</v>
      </c>
      <c r="AG35" s="19">
        <f>RBJM($F35:$G38,J35:K38)</f>
        <v>-38.030650637166708</v>
      </c>
      <c r="AH35" s="19">
        <f t="shared" si="18"/>
        <v>14.775534816154806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1628.895</v>
      </c>
      <c r="I36" s="34">
        <f t="shared" si="5"/>
        <v>42.043199999999999</v>
      </c>
      <c r="J36" s="34">
        <f t="shared" si="6"/>
        <v>1628.895</v>
      </c>
      <c r="K36" s="35">
        <f t="shared" si="7"/>
        <v>43.112699999999997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1628.895</v>
      </c>
      <c r="Y36" s="16">
        <v>37.701799999999999</v>
      </c>
      <c r="Z36" s="16">
        <v>42.043199999999999</v>
      </c>
      <c r="AA36" s="16">
        <v>43.112699999999997</v>
      </c>
      <c r="AB36" s="16">
        <v>1414.8440000000001</v>
      </c>
      <c r="AC36" s="16"/>
      <c r="AD36" s="18">
        <f t="shared" si="10"/>
        <v>0.39301222222222226</v>
      </c>
      <c r="AE36" s="22"/>
      <c r="AF36" s="22"/>
      <c r="AG36" s="22"/>
      <c r="AH36" s="19">
        <f t="shared" si="18"/>
        <v>12.216730563326772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875.59500000000003</v>
      </c>
      <c r="I37" s="34">
        <f t="shared" si="5"/>
        <v>40.105600000000003</v>
      </c>
      <c r="J37" s="34">
        <f t="shared" si="6"/>
        <v>875.59500000000003</v>
      </c>
      <c r="K37" s="35">
        <f t="shared" si="7"/>
        <v>40.954599999999999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875.59500000000003</v>
      </c>
      <c r="Y37" s="16">
        <v>34.966999999999999</v>
      </c>
      <c r="Z37" s="16">
        <v>40.105600000000003</v>
      </c>
      <c r="AA37" s="16">
        <v>40.954599999999999</v>
      </c>
      <c r="AB37" s="16">
        <v>923.20299999999997</v>
      </c>
      <c r="AC37" s="16"/>
      <c r="AD37" s="18">
        <f t="shared" si="10"/>
        <v>0.25644527777777776</v>
      </c>
      <c r="AE37" s="22"/>
      <c r="AF37" s="22"/>
      <c r="AG37" s="22"/>
      <c r="AH37" s="19">
        <f t="shared" si="18"/>
        <v>9.2348928167732005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482.23500000000001</v>
      </c>
      <c r="I38" s="36">
        <f t="shared" si="5"/>
        <v>38.4133</v>
      </c>
      <c r="J38" s="36">
        <f t="shared" si="6"/>
        <v>482.23500000000001</v>
      </c>
      <c r="K38" s="37">
        <f t="shared" si="7"/>
        <v>39.005600000000001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482.23500000000001</v>
      </c>
      <c r="Y38" s="27">
        <v>32.202800000000003</v>
      </c>
      <c r="Z38" s="27">
        <v>38.4133</v>
      </c>
      <c r="AA38" s="27">
        <v>39.005600000000001</v>
      </c>
      <c r="AB38" s="27">
        <v>608.09400000000005</v>
      </c>
      <c r="AC38" s="27"/>
      <c r="AD38" s="26">
        <f t="shared" si="10"/>
        <v>0.16891500000000001</v>
      </c>
      <c r="AE38" s="23"/>
      <c r="AF38" s="23"/>
      <c r="AG38" s="23"/>
      <c r="AH38" s="19">
        <f t="shared" si="18"/>
        <v>6.7297557520556897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8339.9249999999993</v>
      </c>
      <c r="I39" s="32">
        <f t="shared" si="5"/>
        <v>41.598500000000001</v>
      </c>
      <c r="J39" s="32">
        <f t="shared" si="6"/>
        <v>8339.9249999999993</v>
      </c>
      <c r="K39" s="33">
        <f t="shared" si="7"/>
        <v>42.348399999999998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8339.9249999999993</v>
      </c>
      <c r="Y39" s="29">
        <v>38.429600000000001</v>
      </c>
      <c r="Z39" s="29">
        <v>41.598500000000001</v>
      </c>
      <c r="AA39" s="29">
        <v>42.348399999999998</v>
      </c>
      <c r="AB39" s="29">
        <v>3439.547</v>
      </c>
      <c r="AC39" s="29"/>
      <c r="AD39" s="15">
        <f t="shared" si="10"/>
        <v>0.95542972222222222</v>
      </c>
      <c r="AE39" s="19">
        <f>RBJM($P39:$Q42,X39:Y42)</f>
        <v>-23.583135776308271</v>
      </c>
      <c r="AF39" s="19">
        <f>RBJM($D39:$E42,H39:I42)</f>
        <v>-24.390208294088932</v>
      </c>
      <c r="AG39" s="19">
        <f>RBJM($F39:$G42,J39:K42)</f>
        <v>-27.492334918369554</v>
      </c>
      <c r="AH39" s="19">
        <f t="shared" si="18"/>
        <v>16.212348460566751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3971.1</v>
      </c>
      <c r="I40" s="34">
        <f t="shared" si="5"/>
        <v>38.935899999999997</v>
      </c>
      <c r="J40" s="34">
        <f t="shared" si="6"/>
        <v>3971.1</v>
      </c>
      <c r="K40" s="35">
        <f t="shared" si="7"/>
        <v>39.497399999999999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3971.1</v>
      </c>
      <c r="Y40" s="16">
        <v>34.623399999999997</v>
      </c>
      <c r="Z40" s="16">
        <v>38.935899999999997</v>
      </c>
      <c r="AA40" s="16">
        <v>39.497399999999999</v>
      </c>
      <c r="AB40" s="16">
        <v>2380.6880000000001</v>
      </c>
      <c r="AC40" s="16"/>
      <c r="AD40" s="18">
        <f t="shared" si="10"/>
        <v>0.66130222222222224</v>
      </c>
      <c r="AE40" s="22"/>
      <c r="AF40" s="22"/>
      <c r="AG40" s="22"/>
      <c r="AH40" s="19">
        <f t="shared" si="18"/>
        <v>15.037950376471777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1933.4124999999999</v>
      </c>
      <c r="I41" s="34">
        <f t="shared" si="5"/>
        <v>36.868600000000001</v>
      </c>
      <c r="J41" s="34">
        <f t="shared" si="6"/>
        <v>1933.4124999999999</v>
      </c>
      <c r="K41" s="35">
        <f t="shared" si="7"/>
        <v>37.256100000000004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1933.4124999999999</v>
      </c>
      <c r="Y41" s="16">
        <v>31.281300000000002</v>
      </c>
      <c r="Z41" s="16">
        <v>36.868600000000001</v>
      </c>
      <c r="AA41" s="16">
        <v>37.256100000000004</v>
      </c>
      <c r="AB41" s="16">
        <v>1722.5940000000001</v>
      </c>
      <c r="AC41" s="16"/>
      <c r="AD41" s="18">
        <f t="shared" si="10"/>
        <v>0.47849833333333336</v>
      </c>
      <c r="AE41" s="22"/>
      <c r="AF41" s="22"/>
      <c r="AG41" s="22"/>
      <c r="AH41" s="19">
        <f t="shared" si="18"/>
        <v>13.47587383045968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943.5</v>
      </c>
      <c r="I42" s="36">
        <f t="shared" si="5"/>
        <v>35.134500000000003</v>
      </c>
      <c r="J42" s="36">
        <f t="shared" si="6"/>
        <v>943.5</v>
      </c>
      <c r="K42" s="37">
        <f t="shared" si="7"/>
        <v>35.325099999999999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943.5</v>
      </c>
      <c r="Y42" s="27">
        <v>28.3751</v>
      </c>
      <c r="Z42" s="27">
        <v>35.134500000000003</v>
      </c>
      <c r="AA42" s="27">
        <v>35.325099999999999</v>
      </c>
      <c r="AB42" s="27">
        <v>1163.5940000000001</v>
      </c>
      <c r="AC42" s="27"/>
      <c r="AD42" s="26">
        <f t="shared" si="10"/>
        <v>0.32322055555555557</v>
      </c>
      <c r="AE42" s="23"/>
      <c r="AF42" s="23"/>
      <c r="AG42" s="23"/>
      <c r="AH42" s="19">
        <f t="shared" si="18"/>
        <v>11.058782159115751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4253.0924999999997</v>
      </c>
      <c r="I43" s="32">
        <f t="shared" si="5"/>
        <v>41.281300000000002</v>
      </c>
      <c r="J43" s="32">
        <f t="shared" si="6"/>
        <v>4253.0924999999997</v>
      </c>
      <c r="K43" s="33">
        <f t="shared" si="7"/>
        <v>42.460099999999997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4253.0924999999997</v>
      </c>
      <c r="Y43" s="29">
        <v>38.605600000000003</v>
      </c>
      <c r="Z43" s="29">
        <v>41.281300000000002</v>
      </c>
      <c r="AA43" s="29">
        <v>42.460099999999997</v>
      </c>
      <c r="AB43" s="29">
        <v>4562.2340000000004</v>
      </c>
      <c r="AC43" s="29"/>
      <c r="AD43" s="15">
        <f t="shared" si="10"/>
        <v>1.2672872222222222</v>
      </c>
      <c r="AE43" s="19">
        <f>RBJM($P43:$Q46,X43:Y46)</f>
        <v>-29.40039928429713</v>
      </c>
      <c r="AF43" s="19">
        <f>RBJM($D43:$E46,H43:I46)</f>
        <v>-22.259843483042452</v>
      </c>
      <c r="AG43" s="19">
        <f>RBJM($F43:$G46,J43:K46)</f>
        <v>-26.471770622722957</v>
      </c>
      <c r="AH43" s="19">
        <f t="shared" si="18"/>
        <v>17.492423661487969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1871.3475000000001</v>
      </c>
      <c r="I44" s="34">
        <f t="shared" si="5"/>
        <v>39.0366</v>
      </c>
      <c r="J44" s="34">
        <f t="shared" si="6"/>
        <v>1871.3475000000001</v>
      </c>
      <c r="K44" s="35">
        <f t="shared" si="7"/>
        <v>40.246899999999997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1871.3475000000001</v>
      </c>
      <c r="Y44" s="16">
        <v>35.549700000000001</v>
      </c>
      <c r="Z44" s="16">
        <v>39.0366</v>
      </c>
      <c r="AA44" s="16">
        <v>40.246899999999997</v>
      </c>
      <c r="AB44" s="16">
        <v>3229.922</v>
      </c>
      <c r="AC44" s="16"/>
      <c r="AD44" s="18">
        <f t="shared" si="10"/>
        <v>0.89720055555555556</v>
      </c>
      <c r="AE44" s="22"/>
      <c r="AF44" s="22"/>
      <c r="AG44" s="22"/>
      <c r="AH44" s="19">
        <f t="shared" si="18"/>
        <v>16.608929957988163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895.23</v>
      </c>
      <c r="I45" s="34">
        <f t="shared" si="5"/>
        <v>37.131</v>
      </c>
      <c r="J45" s="34">
        <f t="shared" si="6"/>
        <v>895.23</v>
      </c>
      <c r="K45" s="35">
        <f t="shared" si="7"/>
        <v>38.354799999999997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895.23</v>
      </c>
      <c r="Y45" s="16">
        <v>32.632800000000003</v>
      </c>
      <c r="Z45" s="16">
        <v>37.131</v>
      </c>
      <c r="AA45" s="16">
        <v>38.354799999999997</v>
      </c>
      <c r="AB45" s="16">
        <v>2381.3119999999999</v>
      </c>
      <c r="AC45" s="16"/>
      <c r="AD45" s="18">
        <f t="shared" si="10"/>
        <v>0.66147555555555548</v>
      </c>
      <c r="AE45" s="22"/>
      <c r="AF45" s="22"/>
      <c r="AG45" s="22"/>
      <c r="AH45" s="19">
        <f t="shared" si="18"/>
        <v>14.831105741084439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430.95</v>
      </c>
      <c r="I46" s="36">
        <f t="shared" si="5"/>
        <v>35.854900000000001</v>
      </c>
      <c r="J46" s="36">
        <f t="shared" si="6"/>
        <v>430.95</v>
      </c>
      <c r="K46" s="37">
        <f t="shared" si="7"/>
        <v>36.800400000000003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430.95</v>
      </c>
      <c r="Y46" s="27">
        <v>29.847300000000001</v>
      </c>
      <c r="Z46" s="27">
        <v>35.854900000000001</v>
      </c>
      <c r="AA46" s="27">
        <v>36.800400000000003</v>
      </c>
      <c r="AB46" s="27">
        <v>1512.8119999999999</v>
      </c>
      <c r="AC46" s="27"/>
      <c r="AD46" s="26">
        <f t="shared" si="10"/>
        <v>0.42022555555555552</v>
      </c>
      <c r="AE46" s="23"/>
      <c r="AF46" s="23"/>
      <c r="AG46" s="23"/>
      <c r="AH46" s="19">
        <f t="shared" si="18"/>
        <v>11.196974294828618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656.05</v>
      </c>
      <c r="I47" s="32">
        <f t="shared" si="5"/>
        <v>45.846400000000003</v>
      </c>
      <c r="J47" s="32">
        <f t="shared" si="6"/>
        <v>656.05</v>
      </c>
      <c r="K47" s="33">
        <f t="shared" si="7"/>
        <v>45.395800000000001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656.05</v>
      </c>
      <c r="Y47" s="29">
        <v>42.493099999999998</v>
      </c>
      <c r="Z47" s="29">
        <v>45.846400000000003</v>
      </c>
      <c r="AA47" s="29">
        <v>45.395800000000001</v>
      </c>
      <c r="AB47" s="29">
        <v>459.34399999999999</v>
      </c>
      <c r="AC47" s="29"/>
      <c r="AD47" s="15">
        <f t="shared" si="10"/>
        <v>0.12759555555555555</v>
      </c>
      <c r="AE47" s="19">
        <f>RBJM($P47:$Q50,X47:Y50)</f>
        <v>-25.539632042683579</v>
      </c>
      <c r="AF47" s="19">
        <f>RBJM($D47:$E50,H47:I50)</f>
        <v>-34.061816059251925</v>
      </c>
      <c r="AG47" s="19">
        <f>RBJM($F47:$G50,J47:K50)</f>
        <v>-29.003428022111542</v>
      </c>
      <c r="AH47" s="19">
        <f t="shared" si="18"/>
        <v>15.620757668503026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330.66250000000002</v>
      </c>
      <c r="I48" s="34">
        <f t="shared" si="5"/>
        <v>43.1556</v>
      </c>
      <c r="J48" s="34">
        <f t="shared" si="6"/>
        <v>330.66250000000002</v>
      </c>
      <c r="K48" s="35">
        <f t="shared" si="7"/>
        <v>42.324599999999997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330.66250000000002</v>
      </c>
      <c r="Y48" s="16">
        <v>38.810299999999998</v>
      </c>
      <c r="Z48" s="16">
        <v>43.1556</v>
      </c>
      <c r="AA48" s="16">
        <v>42.324599999999997</v>
      </c>
      <c r="AB48" s="16">
        <v>321.96899999999999</v>
      </c>
      <c r="AC48" s="16"/>
      <c r="AD48" s="18">
        <f t="shared" si="10"/>
        <v>8.9435833333333326E-2</v>
      </c>
      <c r="AE48" s="22"/>
      <c r="AF48" s="22"/>
      <c r="AG48" s="22"/>
      <c r="AH48" s="19">
        <f t="shared" si="18"/>
        <v>13.158241039682864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170.17500000000001</v>
      </c>
      <c r="I49" s="34">
        <f t="shared" si="5"/>
        <v>40.739899999999999</v>
      </c>
      <c r="J49" s="34">
        <f t="shared" si="6"/>
        <v>170.17500000000001</v>
      </c>
      <c r="K49" s="35">
        <f t="shared" si="7"/>
        <v>39.637300000000003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170.17500000000001</v>
      </c>
      <c r="Y49" s="16">
        <v>35.478000000000002</v>
      </c>
      <c r="Z49" s="16">
        <v>40.739899999999999</v>
      </c>
      <c r="AA49" s="16">
        <v>39.637300000000003</v>
      </c>
      <c r="AB49" s="16">
        <v>213.65600000000001</v>
      </c>
      <c r="AC49" s="16"/>
      <c r="AD49" s="18">
        <f t="shared" si="10"/>
        <v>5.9348888888888889E-2</v>
      </c>
      <c r="AE49" s="22"/>
      <c r="AF49" s="22"/>
      <c r="AG49" s="22"/>
      <c r="AH49" s="19">
        <f t="shared" si="18"/>
        <v>9.8020828554388224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91.012500000000003</v>
      </c>
      <c r="I50" s="36">
        <f t="shared" si="5"/>
        <v>38.876600000000003</v>
      </c>
      <c r="J50" s="36">
        <f t="shared" si="6"/>
        <v>91.012500000000003</v>
      </c>
      <c r="K50" s="37">
        <f t="shared" si="7"/>
        <v>37.758899999999997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91.012500000000003</v>
      </c>
      <c r="Y50" s="27">
        <v>32.6586</v>
      </c>
      <c r="Z50" s="27">
        <v>38.876600000000003</v>
      </c>
      <c r="AA50" s="27">
        <v>37.758899999999997</v>
      </c>
      <c r="AB50" s="27">
        <v>137.96899999999999</v>
      </c>
      <c r="AC50" s="27"/>
      <c r="AD50" s="26">
        <f t="shared" si="10"/>
        <v>3.8324722222222218E-2</v>
      </c>
      <c r="AE50" s="23"/>
      <c r="AF50" s="23"/>
      <c r="AG50" s="23"/>
      <c r="AH50" s="19">
        <f t="shared" si="18"/>
        <v>6.9691872505935235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1386.75</v>
      </c>
      <c r="I51" s="30">
        <f t="shared" si="5"/>
        <v>41.602800000000002</v>
      </c>
      <c r="J51" s="30">
        <f t="shared" si="6"/>
        <v>1386.75</v>
      </c>
      <c r="K51" s="31">
        <f t="shared" si="7"/>
        <v>43.677599999999998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1386.75</v>
      </c>
      <c r="Y51" s="29">
        <v>38.462800000000001</v>
      </c>
      <c r="Z51" s="29">
        <v>41.602800000000002</v>
      </c>
      <c r="AA51" s="29">
        <v>43.677599999999998</v>
      </c>
      <c r="AB51" s="29">
        <v>873.78099999999995</v>
      </c>
      <c r="AC51" s="29"/>
      <c r="AD51" s="15">
        <f t="shared" si="10"/>
        <v>0.24271694444444444</v>
      </c>
      <c r="AE51" s="19">
        <f>RBJM($P51:$Q54,X51:Y54)</f>
        <v>-25.384886081683579</v>
      </c>
      <c r="AF51" s="19">
        <f>RBJM($D51:$E54,H51:I54)</f>
        <v>-19.910364373500357</v>
      </c>
      <c r="AG51" s="19">
        <f>RBJM($F51:$G54,J51:K54)</f>
        <v>-25.646008873202742</v>
      </c>
      <c r="AH51" s="19">
        <f t="shared" si="18"/>
        <v>18.917922404087641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625.73749999999995</v>
      </c>
      <c r="I52" s="13">
        <f t="shared" si="5"/>
        <v>39.012599999999999</v>
      </c>
      <c r="J52" s="13">
        <f t="shared" si="6"/>
        <v>625.73749999999995</v>
      </c>
      <c r="K52" s="14">
        <f t="shared" si="7"/>
        <v>41.063600000000001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625.73749999999995</v>
      </c>
      <c r="Y52" s="16">
        <v>35.256100000000004</v>
      </c>
      <c r="Z52" s="16">
        <v>39.012599999999999</v>
      </c>
      <c r="AA52" s="16">
        <v>41.063600000000001</v>
      </c>
      <c r="AB52" s="16">
        <v>608.31200000000001</v>
      </c>
      <c r="AC52" s="16"/>
      <c r="AD52" s="18">
        <f t="shared" si="10"/>
        <v>0.16897555555555555</v>
      </c>
      <c r="AE52" s="22"/>
      <c r="AF52" s="22"/>
      <c r="AG52" s="22"/>
      <c r="AH52" s="19">
        <f t="shared" si="18"/>
        <v>18.057231061505579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301.35000000000002</v>
      </c>
      <c r="I53" s="13">
        <f t="shared" si="5"/>
        <v>36.943899999999999</v>
      </c>
      <c r="J53" s="13">
        <f t="shared" si="6"/>
        <v>301.35000000000002</v>
      </c>
      <c r="K53" s="14">
        <f t="shared" si="7"/>
        <v>38.910800000000002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301.35000000000002</v>
      </c>
      <c r="Y53" s="16">
        <v>32.396299999999997</v>
      </c>
      <c r="Z53" s="16">
        <v>36.943899999999999</v>
      </c>
      <c r="AA53" s="16">
        <v>38.910800000000002</v>
      </c>
      <c r="AB53" s="16">
        <v>386.82799999999997</v>
      </c>
      <c r="AC53" s="16"/>
      <c r="AD53" s="18">
        <f t="shared" si="10"/>
        <v>0.10745222222222221</v>
      </c>
      <c r="AE53" s="22"/>
      <c r="AF53" s="22"/>
      <c r="AG53" s="22"/>
      <c r="AH53" s="19">
        <f t="shared" si="18"/>
        <v>14.106483845087885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150.85</v>
      </c>
      <c r="I54" s="24">
        <f t="shared" si="5"/>
        <v>35.077599999999997</v>
      </c>
      <c r="J54" s="24">
        <f t="shared" si="6"/>
        <v>150.85</v>
      </c>
      <c r="K54" s="25">
        <f t="shared" si="7"/>
        <v>36.907200000000003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150.85</v>
      </c>
      <c r="Y54" s="27">
        <v>29.8874</v>
      </c>
      <c r="Z54" s="27">
        <v>35.077599999999997</v>
      </c>
      <c r="AA54" s="27">
        <v>36.907200000000003</v>
      </c>
      <c r="AB54" s="27">
        <v>233.31200000000001</v>
      </c>
      <c r="AC54" s="27"/>
      <c r="AD54" s="26">
        <f t="shared" si="10"/>
        <v>6.4808888888888888E-2</v>
      </c>
      <c r="AE54" s="23"/>
      <c r="AF54" s="23"/>
      <c r="AG54" s="23"/>
      <c r="AH54" s="19">
        <f t="shared" si="18"/>
        <v>10.041835241456486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1268.8499999999999</v>
      </c>
      <c r="I55" s="32">
        <f t="shared" si="5"/>
        <v>44.897199999999998</v>
      </c>
      <c r="J55" s="32">
        <f t="shared" si="6"/>
        <v>1268.8499999999999</v>
      </c>
      <c r="K55" s="33">
        <f t="shared" si="7"/>
        <v>45.838799999999999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1268.8499999999999</v>
      </c>
      <c r="Y55" s="29">
        <v>39.190399999999997</v>
      </c>
      <c r="Z55" s="29">
        <v>44.897199999999998</v>
      </c>
      <c r="AA55" s="29">
        <v>45.838799999999999</v>
      </c>
      <c r="AB55" s="29">
        <v>517.96900000000005</v>
      </c>
      <c r="AC55" s="29"/>
      <c r="AD55" s="15">
        <f t="shared" si="10"/>
        <v>0.14388027777777779</v>
      </c>
      <c r="AE55" s="19">
        <f>RBJM($P55:$Q58,X55:Y58)</f>
        <v>-27.161536618833949</v>
      </c>
      <c r="AF55" s="19">
        <f>RBJM($D55:$E58,H55:I58)</f>
        <v>-32.103038151984478</v>
      </c>
      <c r="AG55" s="19">
        <f>RBJM($F55:$G58,J55:K58)</f>
        <v>-34.782516072048267</v>
      </c>
      <c r="AH55" s="19">
        <f t="shared" si="18"/>
        <v>14.674589908490809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588</v>
      </c>
      <c r="I56" s="34">
        <f t="shared" si="5"/>
        <v>42.535800000000002</v>
      </c>
      <c r="J56" s="34">
        <f t="shared" si="6"/>
        <v>588</v>
      </c>
      <c r="K56" s="35">
        <f t="shared" si="7"/>
        <v>43.421999999999997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588</v>
      </c>
      <c r="Y56" s="16">
        <v>35.743299999999998</v>
      </c>
      <c r="Z56" s="16">
        <v>42.535800000000002</v>
      </c>
      <c r="AA56" s="16">
        <v>43.421999999999997</v>
      </c>
      <c r="AB56" s="16">
        <v>328.89100000000002</v>
      </c>
      <c r="AC56" s="16"/>
      <c r="AD56" s="18">
        <f t="shared" si="10"/>
        <v>9.1358611111111113E-2</v>
      </c>
      <c r="AE56" s="22"/>
      <c r="AF56" s="22"/>
      <c r="AG56" s="22"/>
      <c r="AH56" s="19">
        <f t="shared" si="18"/>
        <v>12.86640325483139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299.92500000000001</v>
      </c>
      <c r="I57" s="34">
        <f t="shared" si="5"/>
        <v>40.624099999999999</v>
      </c>
      <c r="J57" s="34">
        <f t="shared" si="6"/>
        <v>299.92500000000001</v>
      </c>
      <c r="K57" s="35">
        <f t="shared" si="7"/>
        <v>41.306899999999999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299.92500000000001</v>
      </c>
      <c r="Y57" s="16">
        <v>32.537100000000002</v>
      </c>
      <c r="Z57" s="16">
        <v>40.624099999999999</v>
      </c>
      <c r="AA57" s="16">
        <v>41.306899999999999</v>
      </c>
      <c r="AB57" s="16">
        <v>204.84399999999999</v>
      </c>
      <c r="AC57" s="16"/>
      <c r="AD57" s="18">
        <f t="shared" si="10"/>
        <v>5.6901111111111111E-2</v>
      </c>
      <c r="AE57" s="22"/>
      <c r="AF57" s="22"/>
      <c r="AG57" s="22"/>
      <c r="AH57" s="19">
        <f t="shared" si="18"/>
        <v>9.5972638680659657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176.11500000000001</v>
      </c>
      <c r="I58" s="36">
        <f t="shared" si="5"/>
        <v>38.660299999999999</v>
      </c>
      <c r="J58" s="36">
        <f t="shared" si="6"/>
        <v>176.11500000000001</v>
      </c>
      <c r="K58" s="37">
        <f t="shared" si="7"/>
        <v>39.229700000000001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176.11500000000001</v>
      </c>
      <c r="Y58" s="27">
        <v>29.887899999999998</v>
      </c>
      <c r="Z58" s="27">
        <v>38.660299999999999</v>
      </c>
      <c r="AA58" s="27">
        <v>39.229700000000001</v>
      </c>
      <c r="AB58" s="27">
        <v>134.78100000000001</v>
      </c>
      <c r="AC58" s="27"/>
      <c r="AD58" s="26">
        <f t="shared" si="10"/>
        <v>3.7439166666666669E-2</v>
      </c>
      <c r="AE58" s="23"/>
      <c r="AF58" s="23"/>
      <c r="AG58" s="23"/>
      <c r="AH58" s="19">
        <f t="shared" si="18"/>
        <v>7.0074347509618384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1142.5650000000001</v>
      </c>
      <c r="I59" s="30">
        <f t="shared" si="5"/>
        <v>41.477499999999999</v>
      </c>
      <c r="J59" s="30">
        <f t="shared" si="6"/>
        <v>1142.5650000000001</v>
      </c>
      <c r="K59" s="31">
        <f t="shared" si="7"/>
        <v>41.981999999999999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1142.5650000000001</v>
      </c>
      <c r="Y59" s="29">
        <v>39.2196</v>
      </c>
      <c r="Z59" s="29">
        <v>41.477499999999999</v>
      </c>
      <c r="AA59" s="29">
        <v>41.981999999999999</v>
      </c>
      <c r="AB59" s="29">
        <v>1071.2809999999999</v>
      </c>
      <c r="AC59" s="29"/>
      <c r="AD59" s="15">
        <f t="shared" si="10"/>
        <v>0.29757805555555555</v>
      </c>
      <c r="AE59" s="19">
        <f>RBJM($P59:$Q62,X59:Y62)</f>
        <v>-25.196572025858408</v>
      </c>
      <c r="AF59" s="19">
        <f>RBJM($D59:$E62,H59:I62)</f>
        <v>-20.549750878712324</v>
      </c>
      <c r="AG59" s="19">
        <f>RBJM($F59:$G62,J59:K62)</f>
        <v>-19.547236786069611</v>
      </c>
      <c r="AH59" s="19">
        <f t="shared" si="18"/>
        <v>17.481454284362201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557.49749999999995</v>
      </c>
      <c r="I60" s="13">
        <f t="shared" si="5"/>
        <v>38.736199999999997</v>
      </c>
      <c r="J60" s="13">
        <f t="shared" si="6"/>
        <v>557.49749999999995</v>
      </c>
      <c r="K60" s="14">
        <f t="shared" si="7"/>
        <v>39.1479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557.49749999999995</v>
      </c>
      <c r="Y60" s="16">
        <v>35.272599999999997</v>
      </c>
      <c r="Z60" s="16">
        <v>38.736199999999997</v>
      </c>
      <c r="AA60" s="16">
        <v>39.1479</v>
      </c>
      <c r="AB60" s="16">
        <v>774.53099999999995</v>
      </c>
      <c r="AC60" s="16"/>
      <c r="AD60" s="18">
        <f t="shared" si="10"/>
        <v>0.21514749999999999</v>
      </c>
      <c r="AE60" s="22"/>
      <c r="AF60" s="22"/>
      <c r="AG60" s="22"/>
      <c r="AH60" s="19">
        <f t="shared" si="18"/>
        <v>16.402952201444332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273.33749999999998</v>
      </c>
      <c r="I61" s="13">
        <f t="shared" si="5"/>
        <v>36.7194</v>
      </c>
      <c r="J61" s="13">
        <f t="shared" si="6"/>
        <v>273.33749999999998</v>
      </c>
      <c r="K61" s="14">
        <f t="shared" si="7"/>
        <v>36.854399999999998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273.33749999999998</v>
      </c>
      <c r="Y61" s="16">
        <v>31.857299999999999</v>
      </c>
      <c r="Z61" s="16">
        <v>36.7194</v>
      </c>
      <c r="AA61" s="16">
        <v>36.854399999999998</v>
      </c>
      <c r="AB61" s="16">
        <v>564.23400000000004</v>
      </c>
      <c r="AC61" s="16"/>
      <c r="AD61" s="18">
        <f t="shared" si="10"/>
        <v>0.15673166666666669</v>
      </c>
      <c r="AE61" s="22"/>
      <c r="AF61" s="22"/>
      <c r="AG61" s="22"/>
      <c r="AH61" s="19">
        <f t="shared" si="18"/>
        <v>14.57855980156577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140.8125</v>
      </c>
      <c r="I62" s="38">
        <f t="shared" si="5"/>
        <v>35.2104</v>
      </c>
      <c r="J62" s="38">
        <f t="shared" si="6"/>
        <v>140.8125</v>
      </c>
      <c r="K62" s="39">
        <f t="shared" si="7"/>
        <v>35.032200000000003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140.8125</v>
      </c>
      <c r="Y62" s="27">
        <v>29.136800000000001</v>
      </c>
      <c r="Z62" s="27">
        <v>35.2104</v>
      </c>
      <c r="AA62" s="27">
        <v>35.032200000000003</v>
      </c>
      <c r="AB62" s="27">
        <v>372.46899999999999</v>
      </c>
      <c r="AC62" s="27"/>
      <c r="AD62" s="26">
        <f t="shared" si="10"/>
        <v>0.1034636111111111</v>
      </c>
      <c r="AE62" s="23"/>
      <c r="AF62" s="23"/>
      <c r="AG62" s="23"/>
      <c r="AH62" s="19">
        <f t="shared" si="18"/>
        <v>11.662251862984533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1874.01</v>
      </c>
      <c r="I63" s="32">
        <f t="shared" si="5"/>
        <v>48.042200000000001</v>
      </c>
      <c r="J63" s="32">
        <f t="shared" si="6"/>
        <v>1874.01</v>
      </c>
      <c r="K63" s="33">
        <f t="shared" si="7"/>
        <v>49.497599999999998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1874.01</v>
      </c>
      <c r="Y63" s="29">
        <v>43.405500000000004</v>
      </c>
      <c r="Z63" s="29">
        <v>48.042200000000001</v>
      </c>
      <c r="AA63" s="29">
        <v>49.497599999999998</v>
      </c>
      <c r="AB63" s="29">
        <v>1774.6559999999999</v>
      </c>
      <c r="AC63" s="29"/>
      <c r="AD63" s="15">
        <f t="shared" si="10"/>
        <v>0.49296000000000001</v>
      </c>
      <c r="AE63" s="19">
        <f>RBJM($P63:$Q66,X63:Y66)</f>
        <v>-33.293048054399044</v>
      </c>
      <c r="AF63" s="19">
        <f>RBJM($D63:$E66,H63:I66)</f>
        <v>-42.338896359892985</v>
      </c>
      <c r="AG63" s="19">
        <f>RBJM($F63:$G66,J63:K66)</f>
        <v>-39.928022393112542</v>
      </c>
      <c r="AH63" s="19">
        <f t="shared" si="18"/>
        <v>8.681335668372288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1015.995</v>
      </c>
      <c r="I64" s="34">
        <f t="shared" si="5"/>
        <v>46.5244</v>
      </c>
      <c r="J64" s="34">
        <f t="shared" si="6"/>
        <v>1015.995</v>
      </c>
      <c r="K64" s="35">
        <f t="shared" si="7"/>
        <v>47.736600000000003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1015.995</v>
      </c>
      <c r="Y64" s="16">
        <v>41.925199999999997</v>
      </c>
      <c r="Z64" s="16">
        <v>46.5244</v>
      </c>
      <c r="AA64" s="16">
        <v>47.736600000000003</v>
      </c>
      <c r="AB64" s="16">
        <v>1115.2660000000001</v>
      </c>
      <c r="AC64" s="16"/>
      <c r="AD64" s="18">
        <f t="shared" si="10"/>
        <v>0.30979611111111111</v>
      </c>
      <c r="AE64" s="22"/>
      <c r="AF64" s="22"/>
      <c r="AG64" s="22"/>
      <c r="AH64" s="19">
        <f t="shared" si="18"/>
        <v>6.2343326383104802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599.1</v>
      </c>
      <c r="I65" s="34">
        <f t="shared" si="5"/>
        <v>44.887700000000002</v>
      </c>
      <c r="J65" s="34">
        <f t="shared" si="6"/>
        <v>599.1</v>
      </c>
      <c r="K65" s="35">
        <f t="shared" si="7"/>
        <v>45.9495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599.1</v>
      </c>
      <c r="Y65" s="16">
        <v>39.802599999999998</v>
      </c>
      <c r="Z65" s="16">
        <v>44.887700000000002</v>
      </c>
      <c r="AA65" s="16">
        <v>45.9495</v>
      </c>
      <c r="AB65" s="16">
        <v>746.23400000000004</v>
      </c>
      <c r="AC65" s="16"/>
      <c r="AD65" s="18">
        <f t="shared" si="10"/>
        <v>0.20728722222222223</v>
      </c>
      <c r="AE65" s="22"/>
      <c r="AF65" s="22"/>
      <c r="AG65" s="22"/>
      <c r="AH65" s="19">
        <f t="shared" si="18"/>
        <v>4.3859739862819662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361.45499999999998</v>
      </c>
      <c r="I66" s="36">
        <f t="shared" si="5"/>
        <v>42.459899999999998</v>
      </c>
      <c r="J66" s="36">
        <f t="shared" si="6"/>
        <v>361.45499999999998</v>
      </c>
      <c r="K66" s="37">
        <f t="shared" si="7"/>
        <v>43.655799999999999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361.45499999999998</v>
      </c>
      <c r="Y66" s="27">
        <v>37.2577</v>
      </c>
      <c r="Z66" s="27">
        <v>42.459899999999998</v>
      </c>
      <c r="AA66" s="27">
        <v>43.655799999999999</v>
      </c>
      <c r="AB66" s="27">
        <v>527.65599999999995</v>
      </c>
      <c r="AC66" s="27"/>
      <c r="AD66" s="26">
        <f t="shared" si="10"/>
        <v>0.1465711111111111</v>
      </c>
      <c r="AE66" s="23"/>
      <c r="AF66" s="23"/>
      <c r="AG66" s="23"/>
      <c r="AH66" s="19">
        <f t="shared" si="18"/>
        <v>3.2051996962794225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9">P67</f>
        <v>2067.5100000000002</v>
      </c>
      <c r="E67" s="30">
        <f t="shared" ref="E67:E90" si="20">R67</f>
        <v>48.214799999999997</v>
      </c>
      <c r="F67" s="30">
        <f t="shared" ref="F67:F90" si="21">P67</f>
        <v>2067.5100000000002</v>
      </c>
      <c r="G67" s="30">
        <f t="shared" ref="G67:G90" si="22">S67</f>
        <v>48.807000000000002</v>
      </c>
      <c r="H67" s="30">
        <f t="shared" ref="H67:H90" si="23">X67</f>
        <v>1370.88</v>
      </c>
      <c r="I67" s="30">
        <f t="shared" ref="I67:I90" si="24">Z67</f>
        <v>49.151800000000001</v>
      </c>
      <c r="J67" s="30">
        <f t="shared" ref="J67:J90" si="25">X67</f>
        <v>1370.88</v>
      </c>
      <c r="K67" s="31">
        <f t="shared" ref="K67:K90" si="26">AA67</f>
        <v>49.870399999999997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7">T67/3600</f>
        <v>5.8563333333333335E-2</v>
      </c>
      <c r="W67" s="21" t="str">
        <f t="shared" ref="W67:W90" si="28">IF(OR(AND(P67="",Q67="",R67="",S67=""),AND(L67=P67,M67=Q67,N67=R67,O67=S67)),"","!")</f>
        <v>!</v>
      </c>
      <c r="X67" s="29">
        <v>1370.88</v>
      </c>
      <c r="Y67" s="29">
        <v>43.208599999999997</v>
      </c>
      <c r="Z67" s="29">
        <v>49.151800000000001</v>
      </c>
      <c r="AA67" s="29">
        <v>49.870399999999997</v>
      </c>
      <c r="AB67" s="29">
        <v>1900</v>
      </c>
      <c r="AC67" s="29"/>
      <c r="AD67" s="15">
        <f t="shared" ref="AD67:AD90" si="29">AB67/3600</f>
        <v>0.52777777777777779</v>
      </c>
      <c r="AE67" s="19">
        <f>RBJM($P67:$Q70,X67:Y70)</f>
        <v>-38.887291114287081</v>
      </c>
      <c r="AF67" s="19">
        <f>RBJM($D67:$E70,H67:I70)</f>
        <v>-46.406865453844581</v>
      </c>
      <c r="AG67" s="19">
        <f>RBJM($F67:$G70,J67:K70)</f>
        <v>-45.121450641943881</v>
      </c>
      <c r="AH67" s="19">
        <f t="shared" si="18"/>
        <v>9.0120856812188137</v>
      </c>
    </row>
    <row r="68" spans="1:34" ht="12" thickBot="1">
      <c r="A68" s="20"/>
      <c r="B68" s="20" t="s">
        <v>73</v>
      </c>
      <c r="C68" s="20">
        <v>27</v>
      </c>
      <c r="D68" s="13">
        <f t="shared" si="19"/>
        <v>756.06</v>
      </c>
      <c r="E68" s="13">
        <f t="shared" si="20"/>
        <v>46.911499999999997</v>
      </c>
      <c r="F68" s="13">
        <f t="shared" si="21"/>
        <v>756.06</v>
      </c>
      <c r="G68" s="13">
        <f t="shared" si="22"/>
        <v>47.448300000000003</v>
      </c>
      <c r="H68" s="13">
        <f t="shared" si="23"/>
        <v>621.99</v>
      </c>
      <c r="I68" s="13">
        <f t="shared" si="24"/>
        <v>47.854700000000001</v>
      </c>
      <c r="J68" s="13">
        <f t="shared" si="25"/>
        <v>621.99</v>
      </c>
      <c r="K68" s="14">
        <f t="shared" si="26"/>
        <v>48.452800000000003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7"/>
        <v>4.9440000000000005E-2</v>
      </c>
      <c r="W68" s="21" t="str">
        <f t="shared" si="28"/>
        <v>!</v>
      </c>
      <c r="X68" s="16">
        <v>621.99</v>
      </c>
      <c r="Y68" s="16">
        <v>42.061500000000002</v>
      </c>
      <c r="Z68" s="16">
        <v>47.854700000000001</v>
      </c>
      <c r="AA68" s="16">
        <v>48.452800000000003</v>
      </c>
      <c r="AB68" s="16">
        <v>1050.7339999999999</v>
      </c>
      <c r="AC68" s="16"/>
      <c r="AD68" s="18">
        <f t="shared" si="29"/>
        <v>0.29187055555555552</v>
      </c>
      <c r="AE68" s="22"/>
      <c r="AF68" s="22"/>
      <c r="AG68" s="22"/>
      <c r="AH68" s="19">
        <f t="shared" si="18"/>
        <v>5.9035306544408481</v>
      </c>
    </row>
    <row r="69" spans="1:34" ht="12" thickBot="1">
      <c r="A69" s="20"/>
      <c r="B69" s="20"/>
      <c r="C69" s="20">
        <v>32</v>
      </c>
      <c r="D69" s="13">
        <f t="shared" si="19"/>
        <v>387.01499999999999</v>
      </c>
      <c r="E69" s="13">
        <f t="shared" si="20"/>
        <v>45.057400000000001</v>
      </c>
      <c r="F69" s="13">
        <f t="shared" si="21"/>
        <v>387.01499999999999</v>
      </c>
      <c r="G69" s="13">
        <f t="shared" si="22"/>
        <v>45.649799999999999</v>
      </c>
      <c r="H69" s="13">
        <f t="shared" si="23"/>
        <v>341.565</v>
      </c>
      <c r="I69" s="13">
        <f t="shared" si="24"/>
        <v>46.500100000000003</v>
      </c>
      <c r="J69" s="13">
        <f t="shared" si="25"/>
        <v>341.565</v>
      </c>
      <c r="K69" s="14">
        <f t="shared" si="26"/>
        <v>46.910699999999999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7"/>
        <v>4.679694444444444E-2</v>
      </c>
      <c r="W69" s="21" t="str">
        <f t="shared" si="28"/>
        <v>!</v>
      </c>
      <c r="X69" s="16">
        <v>341.565</v>
      </c>
      <c r="Y69" s="16">
        <v>40.533999999999999</v>
      </c>
      <c r="Z69" s="16">
        <v>46.500100000000003</v>
      </c>
      <c r="AA69" s="16">
        <v>46.910699999999999</v>
      </c>
      <c r="AB69" s="16">
        <v>635.06200000000001</v>
      </c>
      <c r="AC69" s="16"/>
      <c r="AD69" s="18">
        <f t="shared" si="29"/>
        <v>0.17640611111111112</v>
      </c>
      <c r="AE69" s="22"/>
      <c r="AF69" s="22"/>
      <c r="AG69" s="22"/>
      <c r="AH69" s="19">
        <f t="shared" si="18"/>
        <v>3.7696074648748437</v>
      </c>
    </row>
    <row r="70" spans="1:34" ht="12" thickBot="1">
      <c r="A70" s="20"/>
      <c r="B70" s="23"/>
      <c r="C70" s="23">
        <v>37</v>
      </c>
      <c r="D70" s="24">
        <f t="shared" si="19"/>
        <v>216.315</v>
      </c>
      <c r="E70" s="24">
        <f t="shared" si="20"/>
        <v>43.269100000000002</v>
      </c>
      <c r="F70" s="24">
        <f t="shared" si="21"/>
        <v>216.315</v>
      </c>
      <c r="G70" s="24">
        <f t="shared" si="22"/>
        <v>43.884700000000002</v>
      </c>
      <c r="H70" s="24">
        <f t="shared" si="23"/>
        <v>195.06</v>
      </c>
      <c r="I70" s="24">
        <f t="shared" si="24"/>
        <v>44.159599999999998</v>
      </c>
      <c r="J70" s="24">
        <f t="shared" si="25"/>
        <v>195.06</v>
      </c>
      <c r="K70" s="25">
        <f t="shared" si="26"/>
        <v>44.796399999999998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7"/>
        <v>4.5238611111111111E-2</v>
      </c>
      <c r="W70" s="21" t="str">
        <f t="shared" si="28"/>
        <v>!</v>
      </c>
      <c r="X70" s="27">
        <v>195.06</v>
      </c>
      <c r="Y70" s="27">
        <v>38.568399999999997</v>
      </c>
      <c r="Z70" s="27">
        <v>44.159599999999998</v>
      </c>
      <c r="AA70" s="27">
        <v>44.796399999999998</v>
      </c>
      <c r="AB70" s="27">
        <v>402.84399999999999</v>
      </c>
      <c r="AC70" s="27"/>
      <c r="AD70" s="26">
        <f t="shared" si="29"/>
        <v>0.1119011111111111</v>
      </c>
      <c r="AE70" s="23"/>
      <c r="AF70" s="23"/>
      <c r="AG70" s="23"/>
      <c r="AH70" s="19">
        <f t="shared" si="18"/>
        <v>2.4735753013342827</v>
      </c>
    </row>
    <row r="71" spans="1:34" ht="12" thickBot="1">
      <c r="A71" s="20"/>
      <c r="B71" s="12" t="s">
        <v>55</v>
      </c>
      <c r="C71" s="12">
        <v>22</v>
      </c>
      <c r="D71" s="30">
        <f t="shared" si="19"/>
        <v>2210.31</v>
      </c>
      <c r="E71" s="30">
        <f t="shared" si="20"/>
        <v>47.615000000000002</v>
      </c>
      <c r="F71" s="30">
        <f t="shared" si="21"/>
        <v>2210.31</v>
      </c>
      <c r="G71" s="30">
        <f t="shared" si="22"/>
        <v>48.531100000000002</v>
      </c>
      <c r="H71" s="30">
        <f t="shared" si="23"/>
        <v>1615.0050000000001</v>
      </c>
      <c r="I71" s="30">
        <f t="shared" si="24"/>
        <v>48.556600000000003</v>
      </c>
      <c r="J71" s="30">
        <f t="shared" si="25"/>
        <v>1615.0050000000001</v>
      </c>
      <c r="K71" s="31">
        <f t="shared" si="26"/>
        <v>49.562199999999997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7"/>
        <v>6.0421111111111106E-2</v>
      </c>
      <c r="W71" s="21" t="str">
        <f t="shared" si="28"/>
        <v>!</v>
      </c>
      <c r="X71" s="29">
        <v>1615.0050000000001</v>
      </c>
      <c r="Y71" s="29">
        <v>43.773200000000003</v>
      </c>
      <c r="Z71" s="29">
        <v>48.556600000000003</v>
      </c>
      <c r="AA71" s="29">
        <v>49.562199999999997</v>
      </c>
      <c r="AB71" s="29">
        <v>2013.9839999999999</v>
      </c>
      <c r="AC71" s="29"/>
      <c r="AD71" s="15">
        <f t="shared" si="29"/>
        <v>0.55943999999999994</v>
      </c>
      <c r="AE71" s="19">
        <f>RBJM($P71:$Q74,X71:Y74)</f>
        <v>-36.702067300833498</v>
      </c>
      <c r="AF71" s="19">
        <f>RBJM($D71:$E74,H71:I74)</f>
        <v>-43.342635738408376</v>
      </c>
      <c r="AG71" s="19">
        <f>RBJM($F71:$G74,J71:K74)</f>
        <v>-43.279506161605973</v>
      </c>
      <c r="AH71" s="19">
        <f t="shared" si="18"/>
        <v>9.2590154287500681</v>
      </c>
    </row>
    <row r="72" spans="1:34" ht="12" thickBot="1">
      <c r="A72" s="20"/>
      <c r="B72" s="20" t="s">
        <v>74</v>
      </c>
      <c r="C72" s="20">
        <v>27</v>
      </c>
      <c r="D72" s="13">
        <f t="shared" si="19"/>
        <v>973.06500000000005</v>
      </c>
      <c r="E72" s="13">
        <f t="shared" si="20"/>
        <v>46.153500000000001</v>
      </c>
      <c r="F72" s="13">
        <f t="shared" si="21"/>
        <v>973.06500000000005</v>
      </c>
      <c r="G72" s="13">
        <f t="shared" si="22"/>
        <v>47.058199999999999</v>
      </c>
      <c r="H72" s="13">
        <f t="shared" si="23"/>
        <v>793.005</v>
      </c>
      <c r="I72" s="13">
        <f t="shared" si="24"/>
        <v>47.174100000000003</v>
      </c>
      <c r="J72" s="13">
        <f t="shared" si="25"/>
        <v>793.005</v>
      </c>
      <c r="K72" s="14">
        <f t="shared" si="26"/>
        <v>48.0989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7"/>
        <v>5.2825555555555556E-2</v>
      </c>
      <c r="W72" s="21" t="str">
        <f t="shared" si="28"/>
        <v>!</v>
      </c>
      <c r="X72" s="16">
        <v>793.005</v>
      </c>
      <c r="Y72" s="16">
        <v>42.283499999999997</v>
      </c>
      <c r="Z72" s="16">
        <v>47.174100000000003</v>
      </c>
      <c r="AA72" s="16">
        <v>48.0989</v>
      </c>
      <c r="AB72" s="16">
        <v>1202.0940000000001</v>
      </c>
      <c r="AC72" s="16"/>
      <c r="AD72" s="18">
        <f t="shared" si="29"/>
        <v>0.33391500000000002</v>
      </c>
      <c r="AE72" s="22"/>
      <c r="AF72" s="22"/>
      <c r="AG72" s="22"/>
      <c r="AH72" s="19">
        <f t="shared" si="18"/>
        <v>6.3210882779799347</v>
      </c>
    </row>
    <row r="73" spans="1:34" ht="12" thickBot="1">
      <c r="A73" s="20"/>
      <c r="B73" s="20"/>
      <c r="C73" s="20">
        <v>32</v>
      </c>
      <c r="D73" s="13">
        <f t="shared" si="19"/>
        <v>512.65499999999997</v>
      </c>
      <c r="E73" s="13">
        <f t="shared" si="20"/>
        <v>44.195500000000003</v>
      </c>
      <c r="F73" s="13">
        <f t="shared" si="21"/>
        <v>512.65499999999997</v>
      </c>
      <c r="G73" s="13">
        <f t="shared" si="22"/>
        <v>45.154600000000002</v>
      </c>
      <c r="H73" s="13">
        <f t="shared" si="23"/>
        <v>435.93</v>
      </c>
      <c r="I73" s="13">
        <f t="shared" si="24"/>
        <v>45.451799999999999</v>
      </c>
      <c r="J73" s="13">
        <f t="shared" si="25"/>
        <v>435.93</v>
      </c>
      <c r="K73" s="14">
        <f t="shared" si="26"/>
        <v>46.359400000000001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7"/>
        <v>4.9401111111111111E-2</v>
      </c>
      <c r="W73" s="21" t="str">
        <f t="shared" si="28"/>
        <v>!</v>
      </c>
      <c r="X73" s="16">
        <v>435.93</v>
      </c>
      <c r="Y73" s="16">
        <v>40.368400000000001</v>
      </c>
      <c r="Z73" s="16">
        <v>45.451799999999999</v>
      </c>
      <c r="AA73" s="16">
        <v>46.359400000000001</v>
      </c>
      <c r="AB73" s="16">
        <v>746.76599999999996</v>
      </c>
      <c r="AC73" s="16"/>
      <c r="AD73" s="18">
        <f t="shared" si="29"/>
        <v>0.20743499999999998</v>
      </c>
      <c r="AE73" s="22"/>
      <c r="AF73" s="22"/>
      <c r="AG73" s="22"/>
      <c r="AH73" s="19">
        <f t="shared" si="18"/>
        <v>4.1989946245023724</v>
      </c>
    </row>
    <row r="74" spans="1:34" ht="12" thickBot="1">
      <c r="A74" s="23"/>
      <c r="B74" s="23"/>
      <c r="C74" s="23">
        <v>37</v>
      </c>
      <c r="D74" s="38">
        <f t="shared" si="19"/>
        <v>290.17500000000001</v>
      </c>
      <c r="E74" s="38">
        <f t="shared" si="20"/>
        <v>42.484000000000002</v>
      </c>
      <c r="F74" s="38">
        <f t="shared" si="21"/>
        <v>290.17500000000001</v>
      </c>
      <c r="G74" s="38">
        <f t="shared" si="22"/>
        <v>43.372100000000003</v>
      </c>
      <c r="H74" s="38">
        <f t="shared" si="23"/>
        <v>253.57499999999999</v>
      </c>
      <c r="I74" s="38">
        <f t="shared" si="24"/>
        <v>43.279000000000003</v>
      </c>
      <c r="J74" s="38">
        <f t="shared" si="25"/>
        <v>253.57499999999999</v>
      </c>
      <c r="K74" s="39">
        <f t="shared" si="26"/>
        <v>44.207900000000002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7"/>
        <v>4.7356666666666672E-2</v>
      </c>
      <c r="W74" s="21" t="str">
        <f t="shared" si="28"/>
        <v>!</v>
      </c>
      <c r="X74" s="27">
        <v>253.57499999999999</v>
      </c>
      <c r="Y74" s="27">
        <v>38.125799999999998</v>
      </c>
      <c r="Z74" s="27">
        <v>43.279000000000003</v>
      </c>
      <c r="AA74" s="27">
        <v>44.207900000000002</v>
      </c>
      <c r="AB74" s="27">
        <v>477.40600000000001</v>
      </c>
      <c r="AC74" s="27"/>
      <c r="AD74" s="26">
        <f t="shared" si="29"/>
        <v>0.13261277777777777</v>
      </c>
      <c r="AE74" s="23"/>
      <c r="AF74" s="23"/>
      <c r="AG74" s="23"/>
      <c r="AH74" s="19">
        <f t="shared" si="18"/>
        <v>2.800297975176556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9"/>
        <v>3144.6</v>
      </c>
      <c r="E75" s="32">
        <f t="shared" si="20"/>
        <v>43.538499999999999</v>
      </c>
      <c r="F75" s="32">
        <f t="shared" si="21"/>
        <v>3144.6</v>
      </c>
      <c r="G75" s="32">
        <f t="shared" si="22"/>
        <v>44.174500000000002</v>
      </c>
      <c r="H75" s="32">
        <f t="shared" si="23"/>
        <v>2500.8625000000002</v>
      </c>
      <c r="I75" s="32">
        <f t="shared" si="24"/>
        <v>44.395899999999997</v>
      </c>
      <c r="J75" s="32">
        <f t="shared" si="25"/>
        <v>2500.8625000000002</v>
      </c>
      <c r="K75" s="33">
        <f t="shared" si="26"/>
        <v>45.253799999999998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7"/>
        <v>4.3979999999999998E-2</v>
      </c>
      <c r="W75" s="21" t="str">
        <f t="shared" si="28"/>
        <v>!</v>
      </c>
      <c r="X75" s="29">
        <v>2500.8625000000002</v>
      </c>
      <c r="Y75" s="29">
        <v>41.842599999999997</v>
      </c>
      <c r="Z75" s="29">
        <v>44.395899999999997</v>
      </c>
      <c r="AA75" s="29">
        <v>45.253799999999998</v>
      </c>
      <c r="AB75" s="29">
        <v>2625.1089999999999</v>
      </c>
      <c r="AC75" s="29"/>
      <c r="AD75" s="15">
        <f t="shared" si="29"/>
        <v>0.72919694444444438</v>
      </c>
      <c r="AE75" s="19">
        <f>RBJM($P75:$Q78,X75:Y78)</f>
        <v>-34.175977757328965</v>
      </c>
      <c r="AF75" s="19">
        <f>RBJM($D75:$E78,H75:I78)</f>
        <v>-39.768101542292833</v>
      </c>
      <c r="AG75" s="19">
        <f>RBJM($F75:$G78,J75:K78)</f>
        <v>-42.253947339346595</v>
      </c>
      <c r="AH75" s="19">
        <f t="shared" ref="AH75:AH90" si="30">AB75/T75</f>
        <v>16.580194280228387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9"/>
        <v>1498.4625000000001</v>
      </c>
      <c r="E76" s="34">
        <f t="shared" si="20"/>
        <v>41.201000000000001</v>
      </c>
      <c r="F76" s="34">
        <f t="shared" si="21"/>
        <v>1498.4625000000001</v>
      </c>
      <c r="G76" s="34">
        <f t="shared" si="22"/>
        <v>41.469799999999999</v>
      </c>
      <c r="H76" s="34">
        <f t="shared" si="23"/>
        <v>1198.4375</v>
      </c>
      <c r="I76" s="34">
        <f t="shared" si="24"/>
        <v>41.981299999999997</v>
      </c>
      <c r="J76" s="34">
        <f t="shared" si="25"/>
        <v>1198.4375</v>
      </c>
      <c r="K76" s="35">
        <f t="shared" si="26"/>
        <v>42.5092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7"/>
        <v>3.5112777777777777E-2</v>
      </c>
      <c r="W76" s="21" t="str">
        <f t="shared" si="28"/>
        <v>!</v>
      </c>
      <c r="X76" s="16">
        <v>1198.4375</v>
      </c>
      <c r="Y76" s="16">
        <v>38.790500000000002</v>
      </c>
      <c r="Z76" s="16">
        <v>41.981299999999997</v>
      </c>
      <c r="AA76" s="16">
        <v>42.5092</v>
      </c>
      <c r="AB76" s="16">
        <v>1738.2190000000001</v>
      </c>
      <c r="AC76" s="16"/>
      <c r="AD76" s="18">
        <f t="shared" si="29"/>
        <v>0.48283861111111115</v>
      </c>
      <c r="AE76" s="22"/>
      <c r="AF76" s="22"/>
      <c r="AG76" s="22"/>
      <c r="AH76" s="19">
        <f t="shared" si="30"/>
        <v>13.751079853804407</v>
      </c>
    </row>
    <row r="77" spans="1:34" ht="12" thickBot="1">
      <c r="A77" s="20"/>
      <c r="B77" s="20"/>
      <c r="C77" s="20">
        <v>32</v>
      </c>
      <c r="D77" s="34">
        <f t="shared" si="19"/>
        <v>772.82500000000005</v>
      </c>
      <c r="E77" s="34">
        <f t="shared" si="20"/>
        <v>38.8232</v>
      </c>
      <c r="F77" s="34">
        <f t="shared" si="21"/>
        <v>772.82500000000005</v>
      </c>
      <c r="G77" s="34">
        <f t="shared" si="22"/>
        <v>38.892899999999997</v>
      </c>
      <c r="H77" s="34">
        <f t="shared" si="23"/>
        <v>609.21249999999998</v>
      </c>
      <c r="I77" s="34">
        <f t="shared" si="24"/>
        <v>39.886400000000002</v>
      </c>
      <c r="J77" s="34">
        <f t="shared" si="25"/>
        <v>609.21249999999998</v>
      </c>
      <c r="K77" s="35">
        <f t="shared" si="26"/>
        <v>40.243400000000001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7"/>
        <v>3.0026111111111111E-2</v>
      </c>
      <c r="W77" s="21" t="str">
        <f t="shared" si="28"/>
        <v>!</v>
      </c>
      <c r="X77" s="16">
        <v>609.21249999999998</v>
      </c>
      <c r="Y77" s="16">
        <v>35.892200000000003</v>
      </c>
      <c r="Z77" s="16">
        <v>39.886400000000002</v>
      </c>
      <c r="AA77" s="16">
        <v>40.243400000000001</v>
      </c>
      <c r="AB77" s="16">
        <v>1144.2660000000001</v>
      </c>
      <c r="AC77" s="16"/>
      <c r="AD77" s="18">
        <f t="shared" si="29"/>
        <v>0.3178516666666667</v>
      </c>
      <c r="AE77" s="22"/>
      <c r="AF77" s="22"/>
      <c r="AG77" s="22"/>
      <c r="AH77" s="19">
        <f t="shared" si="30"/>
        <v>10.585841952374786</v>
      </c>
    </row>
    <row r="78" spans="1:34" ht="12" thickBot="1">
      <c r="A78" s="20"/>
      <c r="B78" s="23"/>
      <c r="C78" s="23">
        <v>37</v>
      </c>
      <c r="D78" s="36">
        <f t="shared" si="19"/>
        <v>407.16250000000002</v>
      </c>
      <c r="E78" s="36">
        <f t="shared" si="20"/>
        <v>36.656199999999998</v>
      </c>
      <c r="F78" s="36">
        <f t="shared" si="21"/>
        <v>407.16250000000002</v>
      </c>
      <c r="G78" s="36">
        <f t="shared" si="22"/>
        <v>36.6492</v>
      </c>
      <c r="H78" s="36">
        <f t="shared" si="23"/>
        <v>329.98750000000001</v>
      </c>
      <c r="I78" s="36">
        <f t="shared" si="24"/>
        <v>37.881300000000003</v>
      </c>
      <c r="J78" s="36">
        <f t="shared" si="25"/>
        <v>329.98750000000001</v>
      </c>
      <c r="K78" s="37">
        <f t="shared" si="26"/>
        <v>37.912100000000002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7"/>
        <v>2.6727499999999998E-2</v>
      </c>
      <c r="W78" s="21" t="str">
        <f t="shared" si="28"/>
        <v>!</v>
      </c>
      <c r="X78" s="27">
        <v>329.98750000000001</v>
      </c>
      <c r="Y78" s="27">
        <v>33.289099999999998</v>
      </c>
      <c r="Z78" s="27">
        <v>37.881300000000003</v>
      </c>
      <c r="AA78" s="27">
        <v>37.912100000000002</v>
      </c>
      <c r="AB78" s="27">
        <v>707.39099999999996</v>
      </c>
      <c r="AC78" s="27"/>
      <c r="AD78" s="26">
        <f t="shared" si="29"/>
        <v>0.19649749999999999</v>
      </c>
      <c r="AE78" s="23"/>
      <c r="AF78" s="23"/>
      <c r="AG78" s="23"/>
      <c r="AH78" s="19">
        <f t="shared" si="30"/>
        <v>7.3518847628846693</v>
      </c>
    </row>
    <row r="79" spans="1:34" ht="12" thickBot="1">
      <c r="A79" s="20"/>
      <c r="B79" s="12" t="s">
        <v>79</v>
      </c>
      <c r="C79" s="12">
        <v>22</v>
      </c>
      <c r="D79" s="30">
        <f t="shared" si="19"/>
        <v>4586.2425000000003</v>
      </c>
      <c r="E79" s="30">
        <f t="shared" si="20"/>
        <v>45.898699999999998</v>
      </c>
      <c r="F79" s="30">
        <f t="shared" si="21"/>
        <v>4586.2425000000003</v>
      </c>
      <c r="G79" s="30">
        <f t="shared" si="22"/>
        <v>45.890300000000003</v>
      </c>
      <c r="H79" s="30">
        <f t="shared" si="23"/>
        <v>3353.34</v>
      </c>
      <c r="I79" s="30">
        <f t="shared" si="24"/>
        <v>46.410400000000003</v>
      </c>
      <c r="J79" s="30">
        <f t="shared" si="25"/>
        <v>3353.34</v>
      </c>
      <c r="K79" s="31">
        <f t="shared" si="26"/>
        <v>46.417400000000001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7"/>
        <v>0.10213555555555555</v>
      </c>
      <c r="W79" s="21" t="str">
        <f t="shared" si="28"/>
        <v>!</v>
      </c>
      <c r="X79" s="29">
        <v>3353.34</v>
      </c>
      <c r="Y79" s="29">
        <v>43.759599999999999</v>
      </c>
      <c r="Z79" s="29">
        <v>46.410400000000003</v>
      </c>
      <c r="AA79" s="29">
        <v>46.417400000000001</v>
      </c>
      <c r="AB79" s="29">
        <v>5155.5309999999999</v>
      </c>
      <c r="AC79" s="29"/>
      <c r="AD79" s="15">
        <f t="shared" si="29"/>
        <v>1.4320919444444444</v>
      </c>
      <c r="AE79" s="19">
        <f>RBJM($P79:$Q82,X79:Y82)</f>
        <v>-33.986948024221853</v>
      </c>
      <c r="AF79" s="19">
        <f>RBJM($D79:$E82,H79:I82)</f>
        <v>-39.375209272645073</v>
      </c>
      <c r="AG79" s="19">
        <f>RBJM($F79:$G82,J79:K82)</f>
        <v>-30.981479948136904</v>
      </c>
      <c r="AH79" s="19">
        <f t="shared" si="30"/>
        <v>14.021482887665631</v>
      </c>
    </row>
    <row r="80" spans="1:34" ht="12" thickBot="1">
      <c r="A80" s="20"/>
      <c r="B80" s="20" t="s">
        <v>83</v>
      </c>
      <c r="C80" s="20">
        <v>27</v>
      </c>
      <c r="D80" s="13">
        <f t="shared" si="19"/>
        <v>2374.71</v>
      </c>
      <c r="E80" s="13">
        <f t="shared" si="20"/>
        <v>42.972299999999997</v>
      </c>
      <c r="F80" s="13">
        <f t="shared" si="21"/>
        <v>2374.71</v>
      </c>
      <c r="G80" s="13">
        <f t="shared" si="22"/>
        <v>42.875599999999999</v>
      </c>
      <c r="H80" s="13">
        <f t="shared" si="23"/>
        <v>1764.1275000000001</v>
      </c>
      <c r="I80" s="13">
        <f t="shared" si="24"/>
        <v>43.785800000000002</v>
      </c>
      <c r="J80" s="13">
        <f t="shared" si="25"/>
        <v>1764.1275000000001</v>
      </c>
      <c r="K80" s="14">
        <f t="shared" si="26"/>
        <v>43.418599999999998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7"/>
        <v>8.2209166666666667E-2</v>
      </c>
      <c r="W80" s="21" t="str">
        <f t="shared" si="28"/>
        <v>!</v>
      </c>
      <c r="X80" s="16">
        <v>1764.1275000000001</v>
      </c>
      <c r="Y80" s="16">
        <v>39.947499999999998</v>
      </c>
      <c r="Z80" s="16">
        <v>43.785800000000002</v>
      </c>
      <c r="AA80" s="16">
        <v>43.418599999999998</v>
      </c>
      <c r="AB80" s="16">
        <v>3621.5160000000001</v>
      </c>
      <c r="AC80" s="16"/>
      <c r="AD80" s="18">
        <f t="shared" si="29"/>
        <v>1.0059766666666667</v>
      </c>
      <c r="AE80" s="22"/>
      <c r="AF80" s="22"/>
      <c r="AG80" s="22"/>
      <c r="AH80" s="19">
        <f t="shared" si="30"/>
        <v>12.23679435586056</v>
      </c>
    </row>
    <row r="81" spans="1:34" ht="12" thickBot="1">
      <c r="A81" s="20"/>
      <c r="B81" s="20"/>
      <c r="C81" s="20">
        <v>32</v>
      </c>
      <c r="D81" s="13">
        <f t="shared" si="19"/>
        <v>1320.3074999999999</v>
      </c>
      <c r="E81" s="13">
        <f t="shared" si="20"/>
        <v>40.659500000000001</v>
      </c>
      <c r="F81" s="13">
        <f t="shared" si="21"/>
        <v>1320.3074999999999</v>
      </c>
      <c r="G81" s="13">
        <f t="shared" si="22"/>
        <v>40.543900000000001</v>
      </c>
      <c r="H81" s="13">
        <f t="shared" si="23"/>
        <v>988.07249999999999</v>
      </c>
      <c r="I81" s="13">
        <f t="shared" si="24"/>
        <v>41.566899999999997</v>
      </c>
      <c r="J81" s="13">
        <f t="shared" si="25"/>
        <v>988.07249999999999</v>
      </c>
      <c r="K81" s="14">
        <f t="shared" si="26"/>
        <v>40.801600000000001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7"/>
        <v>6.7786388888888896E-2</v>
      </c>
      <c r="W81" s="21" t="str">
        <f t="shared" si="28"/>
        <v>!</v>
      </c>
      <c r="X81" s="16">
        <v>988.07249999999999</v>
      </c>
      <c r="Y81" s="16">
        <v>36.485399999999998</v>
      </c>
      <c r="Z81" s="16">
        <v>41.566899999999997</v>
      </c>
      <c r="AA81" s="16">
        <v>40.801600000000001</v>
      </c>
      <c r="AB81" s="16">
        <v>2466.5940000000001</v>
      </c>
      <c r="AC81" s="16"/>
      <c r="AD81" s="18">
        <f t="shared" si="29"/>
        <v>0.68516500000000002</v>
      </c>
      <c r="AE81" s="22"/>
      <c r="AF81" s="22"/>
      <c r="AG81" s="22"/>
      <c r="AH81" s="19">
        <f t="shared" si="30"/>
        <v>10.107707627309646</v>
      </c>
    </row>
    <row r="82" spans="1:34" ht="12" thickBot="1">
      <c r="A82" s="20"/>
      <c r="B82" s="23"/>
      <c r="C82" s="23">
        <v>37</v>
      </c>
      <c r="D82" s="24">
        <f t="shared" si="19"/>
        <v>713.70749999999998</v>
      </c>
      <c r="E82" s="24">
        <f t="shared" si="20"/>
        <v>38.7119</v>
      </c>
      <c r="F82" s="24">
        <f t="shared" si="21"/>
        <v>713.70749999999998</v>
      </c>
      <c r="G82" s="24">
        <f t="shared" si="22"/>
        <v>38.452300000000001</v>
      </c>
      <c r="H82" s="24">
        <f t="shared" si="23"/>
        <v>561.36749999999995</v>
      </c>
      <c r="I82" s="24">
        <f t="shared" si="24"/>
        <v>39.544699999999999</v>
      </c>
      <c r="J82" s="24">
        <f t="shared" si="25"/>
        <v>561.36749999999995</v>
      </c>
      <c r="K82" s="25">
        <f t="shared" si="26"/>
        <v>38.170499999999997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7"/>
        <v>5.6757777777777782E-2</v>
      </c>
      <c r="W82" s="21" t="str">
        <f t="shared" si="28"/>
        <v>!</v>
      </c>
      <c r="X82" s="27">
        <v>561.36749999999995</v>
      </c>
      <c r="Y82" s="27">
        <v>33.234699999999997</v>
      </c>
      <c r="Z82" s="27">
        <v>39.544699999999999</v>
      </c>
      <c r="AA82" s="27">
        <v>38.170499999999997</v>
      </c>
      <c r="AB82" s="27">
        <v>1632.1880000000001</v>
      </c>
      <c r="AC82" s="27"/>
      <c r="AD82" s="26">
        <f t="shared" si="29"/>
        <v>0.4533855555555556</v>
      </c>
      <c r="AE82" s="23"/>
      <c r="AF82" s="23"/>
      <c r="AG82" s="23"/>
      <c r="AH82" s="19">
        <f t="shared" si="30"/>
        <v>7.9880779922477592</v>
      </c>
    </row>
    <row r="83" spans="1:34" ht="12" thickBot="1">
      <c r="A83" s="20"/>
      <c r="B83" s="12" t="s">
        <v>80</v>
      </c>
      <c r="C83" s="12">
        <v>22</v>
      </c>
      <c r="D83" s="32">
        <f t="shared" si="19"/>
        <v>1568.1675</v>
      </c>
      <c r="E83" s="32">
        <f t="shared" si="20"/>
        <v>47.331600000000002</v>
      </c>
      <c r="F83" s="32">
        <f t="shared" si="21"/>
        <v>1568.1675</v>
      </c>
      <c r="G83" s="32">
        <f t="shared" si="22"/>
        <v>47.215600000000002</v>
      </c>
      <c r="H83" s="32">
        <f t="shared" si="23"/>
        <v>1246.395</v>
      </c>
      <c r="I83" s="32">
        <f t="shared" si="24"/>
        <v>48.627000000000002</v>
      </c>
      <c r="J83" s="32">
        <f t="shared" si="25"/>
        <v>1246.395</v>
      </c>
      <c r="K83" s="33">
        <f t="shared" si="26"/>
        <v>48.918799999999997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7"/>
        <v>4.8632777777777782E-2</v>
      </c>
      <c r="W83" s="21" t="str">
        <f t="shared" si="28"/>
        <v>!</v>
      </c>
      <c r="X83" s="29">
        <v>1246.395</v>
      </c>
      <c r="Y83" s="29">
        <v>50.514099999999999</v>
      </c>
      <c r="Z83" s="29">
        <v>48.627000000000002</v>
      </c>
      <c r="AA83" s="29">
        <v>48.918799999999997</v>
      </c>
      <c r="AB83" s="29">
        <v>806.01599999999996</v>
      </c>
      <c r="AC83" s="29"/>
      <c r="AD83" s="15">
        <f t="shared" si="29"/>
        <v>0.22389333333333333</v>
      </c>
      <c r="AE83" s="19">
        <f>RBJM($P83:$Q86,X83:Y86)</f>
        <v>-32.959365295533431</v>
      </c>
      <c r="AF83" s="19">
        <f>RBJM($D83:$E86,H83:I86)</f>
        <v>-36.891443176219965</v>
      </c>
      <c r="AG83" s="19">
        <f>RBJM($F83:$G86,J83:K86)</f>
        <v>-39.616414777638674</v>
      </c>
      <c r="AH83" s="19">
        <f t="shared" si="30"/>
        <v>4.6037537554689907</v>
      </c>
    </row>
    <row r="84" spans="1:34" ht="12" thickBot="1">
      <c r="A84" s="20"/>
      <c r="B84" s="20" t="s">
        <v>84</v>
      </c>
      <c r="C84" s="20">
        <v>27</v>
      </c>
      <c r="D84" s="34">
        <f t="shared" si="19"/>
        <v>1172.4749999999999</v>
      </c>
      <c r="E84" s="34">
        <f t="shared" si="20"/>
        <v>43.154699999999998</v>
      </c>
      <c r="F84" s="34">
        <f t="shared" si="21"/>
        <v>1172.4749999999999</v>
      </c>
      <c r="G84" s="34">
        <f t="shared" si="22"/>
        <v>42.941800000000001</v>
      </c>
      <c r="H84" s="34">
        <f t="shared" si="23"/>
        <v>892.42499999999995</v>
      </c>
      <c r="I84" s="34">
        <f t="shared" si="24"/>
        <v>45.0199</v>
      </c>
      <c r="J84" s="34">
        <f t="shared" si="25"/>
        <v>892.42499999999995</v>
      </c>
      <c r="K84" s="35">
        <f t="shared" si="26"/>
        <v>45.218699999999998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7"/>
        <v>4.7968888888888887E-2</v>
      </c>
      <c r="W84" s="21" t="str">
        <f t="shared" si="28"/>
        <v>!</v>
      </c>
      <c r="X84" s="16">
        <v>892.42499999999995</v>
      </c>
      <c r="Y84" s="16">
        <v>46.225099999999998</v>
      </c>
      <c r="Z84" s="16">
        <v>45.0199</v>
      </c>
      <c r="AA84" s="16">
        <v>45.218699999999998</v>
      </c>
      <c r="AB84" s="16">
        <v>681.82799999999997</v>
      </c>
      <c r="AC84" s="16"/>
      <c r="AD84" s="18">
        <f t="shared" si="29"/>
        <v>0.18939666666666666</v>
      </c>
      <c r="AE84" s="22"/>
      <c r="AF84" s="22"/>
      <c r="AG84" s="22"/>
      <c r="AH84" s="19">
        <f t="shared" si="30"/>
        <v>3.9483229871212826</v>
      </c>
    </row>
    <row r="85" spans="1:34" ht="12" thickBot="1">
      <c r="A85" s="20"/>
      <c r="B85" s="20"/>
      <c r="C85" s="20">
        <v>32</v>
      </c>
      <c r="D85" s="34">
        <f t="shared" si="19"/>
        <v>894.40499999999997</v>
      </c>
      <c r="E85" s="34">
        <f t="shared" si="20"/>
        <v>39.415399999999998</v>
      </c>
      <c r="F85" s="34">
        <f t="shared" si="21"/>
        <v>894.40499999999997</v>
      </c>
      <c r="G85" s="34">
        <f t="shared" si="22"/>
        <v>39.527700000000003</v>
      </c>
      <c r="H85" s="34">
        <f t="shared" si="23"/>
        <v>664.54499999999996</v>
      </c>
      <c r="I85" s="34">
        <f t="shared" si="24"/>
        <v>42.415599999999998</v>
      </c>
      <c r="J85" s="34">
        <f t="shared" si="25"/>
        <v>664.54499999999996</v>
      </c>
      <c r="K85" s="35">
        <f t="shared" si="26"/>
        <v>42.763399999999997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7"/>
        <v>4.7534722222222221E-2</v>
      </c>
      <c r="W85" s="21" t="str">
        <f t="shared" si="28"/>
        <v>!</v>
      </c>
      <c r="X85" s="16">
        <v>664.54499999999996</v>
      </c>
      <c r="Y85" s="16">
        <v>41.6815</v>
      </c>
      <c r="Z85" s="16">
        <v>42.415599999999998</v>
      </c>
      <c r="AA85" s="16">
        <v>42.763399999999997</v>
      </c>
      <c r="AB85" s="16">
        <v>592.46900000000005</v>
      </c>
      <c r="AC85" s="16"/>
      <c r="AD85" s="18">
        <f t="shared" si="29"/>
        <v>0.16457472222222225</v>
      </c>
      <c r="AE85" s="22"/>
      <c r="AF85" s="22"/>
      <c r="AG85" s="22"/>
      <c r="AH85" s="19">
        <f t="shared" si="30"/>
        <v>3.4622001460920382</v>
      </c>
    </row>
    <row r="86" spans="1:34" ht="12" thickBot="1">
      <c r="A86" s="20"/>
      <c r="B86" s="23"/>
      <c r="C86" s="23">
        <v>37</v>
      </c>
      <c r="D86" s="36">
        <f t="shared" si="19"/>
        <v>650.68499999999995</v>
      </c>
      <c r="E86" s="36">
        <f t="shared" si="20"/>
        <v>37.917099999999998</v>
      </c>
      <c r="F86" s="36">
        <f t="shared" si="21"/>
        <v>650.68499999999995</v>
      </c>
      <c r="G86" s="36">
        <f t="shared" si="22"/>
        <v>37.3093</v>
      </c>
      <c r="H86" s="36">
        <f t="shared" si="23"/>
        <v>495.57</v>
      </c>
      <c r="I86" s="36">
        <f t="shared" si="24"/>
        <v>38.382100000000001</v>
      </c>
      <c r="J86" s="36">
        <f t="shared" si="25"/>
        <v>495.57</v>
      </c>
      <c r="K86" s="37">
        <f t="shared" si="26"/>
        <v>39.495600000000003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7"/>
        <v>4.6818611111111109E-2</v>
      </c>
      <c r="W86" s="21" t="str">
        <f t="shared" si="28"/>
        <v>!</v>
      </c>
      <c r="X86" s="27">
        <v>495.57</v>
      </c>
      <c r="Y86" s="27">
        <v>37.0884</v>
      </c>
      <c r="Z86" s="27">
        <v>38.382100000000001</v>
      </c>
      <c r="AA86" s="27">
        <v>39.495600000000003</v>
      </c>
      <c r="AB86" s="27">
        <v>527.07799999999997</v>
      </c>
      <c r="AC86" s="27"/>
      <c r="AD86" s="26">
        <f t="shared" si="29"/>
        <v>0.14641055555555554</v>
      </c>
      <c r="AE86" s="23"/>
      <c r="AF86" s="23"/>
      <c r="AG86" s="23"/>
      <c r="AH86" s="19">
        <f t="shared" si="30"/>
        <v>3.1271870754151658</v>
      </c>
    </row>
    <row r="87" spans="1:34" ht="12" thickBot="1">
      <c r="A87" s="20"/>
      <c r="B87" s="12" t="s">
        <v>81</v>
      </c>
      <c r="C87" s="12">
        <v>22</v>
      </c>
      <c r="D87" s="30">
        <f t="shared" si="19"/>
        <v>644.35</v>
      </c>
      <c r="E87" s="30">
        <f t="shared" si="20"/>
        <v>51.790599999999998</v>
      </c>
      <c r="F87" s="30">
        <f t="shared" si="21"/>
        <v>644.35</v>
      </c>
      <c r="G87" s="30">
        <f t="shared" si="22"/>
        <v>52.808799999999998</v>
      </c>
      <c r="H87" s="30">
        <f t="shared" si="23"/>
        <v>472.875</v>
      </c>
      <c r="I87" s="30">
        <f t="shared" si="24"/>
        <v>53.658499999999997</v>
      </c>
      <c r="J87" s="30">
        <f t="shared" si="25"/>
        <v>472.875</v>
      </c>
      <c r="K87" s="31">
        <f t="shared" si="26"/>
        <v>54.810899999999997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7"/>
        <v>6.7673611111111115E-2</v>
      </c>
      <c r="W87" s="21" t="str">
        <f t="shared" si="28"/>
        <v>!</v>
      </c>
      <c r="X87" s="29">
        <v>472.875</v>
      </c>
      <c r="Y87" s="29">
        <v>51.037500000000001</v>
      </c>
      <c r="Z87" s="29">
        <v>53.658499999999997</v>
      </c>
      <c r="AA87" s="29">
        <v>54.810899999999997</v>
      </c>
      <c r="AB87" s="29">
        <v>1309.3440000000001</v>
      </c>
      <c r="AC87" s="29"/>
      <c r="AD87" s="15">
        <f t="shared" si="29"/>
        <v>0.36370666666666668</v>
      </c>
      <c r="AE87" s="19">
        <f>RBJM($P87:$Q90,X87:Y90)</f>
        <v>-37.138779173797467</v>
      </c>
      <c r="AF87" s="19">
        <f>RBJM($D87:$E90,H87:I90)</f>
        <v>-43.406477711879134</v>
      </c>
      <c r="AG87" s="19">
        <f>RBJM($F87:$G90,J87:K90)</f>
        <v>-46.506358137924011</v>
      </c>
      <c r="AH87" s="19">
        <f t="shared" si="30"/>
        <v>5.3744238070805546</v>
      </c>
    </row>
    <row r="88" spans="1:34" ht="12" thickBot="1">
      <c r="A88" s="20"/>
      <c r="B88" s="20" t="s">
        <v>85</v>
      </c>
      <c r="C88" s="20">
        <v>27</v>
      </c>
      <c r="D88" s="13">
        <f t="shared" si="19"/>
        <v>409.40499999999997</v>
      </c>
      <c r="E88" s="13">
        <f t="shared" si="20"/>
        <v>48.771000000000001</v>
      </c>
      <c r="F88" s="13">
        <f t="shared" si="21"/>
        <v>409.40499999999997</v>
      </c>
      <c r="G88" s="13">
        <f t="shared" si="22"/>
        <v>49.803400000000003</v>
      </c>
      <c r="H88" s="13">
        <f t="shared" si="23"/>
        <v>284.56</v>
      </c>
      <c r="I88" s="13">
        <f t="shared" si="24"/>
        <v>50.126199999999997</v>
      </c>
      <c r="J88" s="13">
        <f t="shared" si="25"/>
        <v>284.56</v>
      </c>
      <c r="K88" s="14">
        <f t="shared" si="26"/>
        <v>51.133299999999998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7"/>
        <v>6.58725E-2</v>
      </c>
      <c r="W88" s="21" t="str">
        <f t="shared" si="28"/>
        <v>!</v>
      </c>
      <c r="X88" s="16">
        <v>284.56</v>
      </c>
      <c r="Y88" s="16">
        <v>46.991599999999998</v>
      </c>
      <c r="Z88" s="16">
        <v>50.126199999999997</v>
      </c>
      <c r="AA88" s="16">
        <v>51.133299999999998</v>
      </c>
      <c r="AB88" s="16">
        <v>932.90599999999995</v>
      </c>
      <c r="AC88" s="16"/>
      <c r="AD88" s="18">
        <f t="shared" si="29"/>
        <v>0.25914055555555554</v>
      </c>
      <c r="AE88" s="22"/>
      <c r="AF88" s="22"/>
      <c r="AG88" s="22"/>
      <c r="AH88" s="19">
        <f t="shared" si="30"/>
        <v>3.9339717720680945</v>
      </c>
    </row>
    <row r="89" spans="1:34" ht="12" thickBot="1">
      <c r="A89" s="20"/>
      <c r="B89" s="20"/>
      <c r="C89" s="20">
        <v>32</v>
      </c>
      <c r="D89" s="13">
        <f t="shared" si="19"/>
        <v>278.72000000000003</v>
      </c>
      <c r="E89" s="13">
        <f t="shared" si="20"/>
        <v>45.951300000000003</v>
      </c>
      <c r="F89" s="13">
        <f t="shared" si="21"/>
        <v>278.72000000000003</v>
      </c>
      <c r="G89" s="13">
        <f t="shared" si="22"/>
        <v>47.307499999999997</v>
      </c>
      <c r="H89" s="13">
        <f t="shared" si="23"/>
        <v>193.61500000000001</v>
      </c>
      <c r="I89" s="13">
        <f t="shared" si="24"/>
        <v>47.7301</v>
      </c>
      <c r="J89" s="13">
        <f t="shared" si="25"/>
        <v>193.61500000000001</v>
      </c>
      <c r="K89" s="14">
        <f t="shared" si="26"/>
        <v>49.550600000000003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7"/>
        <v>6.2638888888888883E-2</v>
      </c>
      <c r="W89" s="21" t="str">
        <f t="shared" si="28"/>
        <v>!</v>
      </c>
      <c r="X89" s="16">
        <v>193.61500000000001</v>
      </c>
      <c r="Y89" s="16">
        <v>43.8842</v>
      </c>
      <c r="Z89" s="16">
        <v>47.7301</v>
      </c>
      <c r="AA89" s="16">
        <v>49.550600000000003</v>
      </c>
      <c r="AB89" s="16">
        <v>667.07799999999997</v>
      </c>
      <c r="AC89" s="16"/>
      <c r="AD89" s="18">
        <f t="shared" si="29"/>
        <v>0.18529944444444443</v>
      </c>
      <c r="AE89" s="22"/>
      <c r="AF89" s="22"/>
      <c r="AG89" s="22"/>
      <c r="AH89" s="19">
        <f t="shared" si="30"/>
        <v>2.9582172949002215</v>
      </c>
    </row>
    <row r="90" spans="1:34" ht="12" thickBot="1">
      <c r="A90" s="23"/>
      <c r="B90" s="23"/>
      <c r="C90" s="23">
        <v>37</v>
      </c>
      <c r="D90" s="38">
        <f t="shared" si="19"/>
        <v>196.345</v>
      </c>
      <c r="E90" s="38">
        <f t="shared" si="20"/>
        <v>44.4724</v>
      </c>
      <c r="F90" s="38">
        <f t="shared" si="21"/>
        <v>196.345</v>
      </c>
      <c r="G90" s="38">
        <f t="shared" si="22"/>
        <v>46.253599999999999</v>
      </c>
      <c r="H90" s="38">
        <f t="shared" si="23"/>
        <v>140.16999999999999</v>
      </c>
      <c r="I90" s="38">
        <f t="shared" si="24"/>
        <v>44.7971</v>
      </c>
      <c r="J90" s="38">
        <f t="shared" si="25"/>
        <v>140.16999999999999</v>
      </c>
      <c r="K90" s="39">
        <f t="shared" si="26"/>
        <v>46.795099999999998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7"/>
        <v>6.0021666666666668E-2</v>
      </c>
      <c r="W90" s="21" t="str">
        <f t="shared" si="28"/>
        <v>!</v>
      </c>
      <c r="X90" s="27">
        <v>140.16999999999999</v>
      </c>
      <c r="Y90" s="27">
        <v>40.4925</v>
      </c>
      <c r="Z90" s="27">
        <v>44.7971</v>
      </c>
      <c r="AA90" s="27">
        <v>46.795099999999998</v>
      </c>
      <c r="AB90" s="27">
        <v>510.76600000000002</v>
      </c>
      <c r="AC90" s="27"/>
      <c r="AD90" s="26">
        <f t="shared" si="29"/>
        <v>0.14187944444444445</v>
      </c>
      <c r="AE90" s="23"/>
      <c r="AF90" s="23"/>
      <c r="AG90" s="23"/>
      <c r="AH90" s="76">
        <f t="shared" si="30"/>
        <v>2.3638038115865569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-29.957796715607778</v>
      </c>
      <c r="AF93" s="44">
        <f>AVERAGE(AF31,AF35,AF39,AF43)</f>
        <v>-30.647224953038332</v>
      </c>
      <c r="AG93" s="44">
        <f>AVERAGE(AG31,AG35,AG39,AG43)</f>
        <v>-33.388972642353892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-25.820656692264876</v>
      </c>
      <c r="AF94" s="44">
        <f>AVERAGE(AF47,AF55,AF51,AF59)</f>
        <v>-26.656242365862269</v>
      </c>
      <c r="AG94" s="44">
        <f>AVERAGE(AG47,AG55,AG51,AG59)</f>
        <v>-27.244797438358042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-36.294135489839874</v>
      </c>
      <c r="AF95" s="44">
        <f>AVERAGE(AF63,AF67,AF71)</f>
        <v>-44.029465850715319</v>
      </c>
      <c r="AG95" s="44">
        <f>AVERAGE(AG63,AG67,AG71)</f>
        <v>-42.77632639888747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-34.565267562720429</v>
      </c>
      <c r="AF96" s="44">
        <f t="shared" ref="AF96:AG96" si="31">AVERAGE(AF75,AF79,AF83,AF87)</f>
        <v>-39.860307925759251</v>
      </c>
      <c r="AG96" s="44">
        <f t="shared" si="31"/>
        <v>-39.839550050761545</v>
      </c>
    </row>
    <row r="97" spans="2:33">
      <c r="B97" s="69" t="s">
        <v>57</v>
      </c>
      <c r="C97" s="69"/>
      <c r="D97" s="70"/>
      <c r="E97" s="71"/>
      <c r="F97" s="72"/>
      <c r="G97" s="71"/>
      <c r="H97" s="71"/>
      <c r="I97" s="71"/>
      <c r="J97" s="71"/>
      <c r="K97" s="71"/>
      <c r="L97" s="71"/>
      <c r="M97" s="71"/>
      <c r="N97" s="71"/>
      <c r="O97" s="71"/>
      <c r="P97" s="69"/>
      <c r="Q97" s="69"/>
      <c r="R97" s="69"/>
      <c r="S97" s="69"/>
      <c r="T97" s="69"/>
      <c r="U97" s="69"/>
      <c r="V97" s="69"/>
      <c r="W97" s="73"/>
      <c r="X97" s="69"/>
      <c r="Y97" s="69"/>
      <c r="Z97" s="69"/>
      <c r="AA97" s="69"/>
      <c r="AB97" s="69"/>
      <c r="AC97" s="69"/>
      <c r="AD97" s="69"/>
      <c r="AE97" s="74" t="e">
        <f>AVERAGE(AE3,AE7,AE11,AE15,AE19,AE23,AE27,AE31,AE35,AE39,AE43,AE47,AE55,AE51,AE59,AE63,AE67,AE71)</f>
        <v>#VALUE!</v>
      </c>
      <c r="AF97" s="74" t="e">
        <f>AVERAGE(AF3,AF7,AF11,AF15,AF19,AF23,AF27,AF31,AF35,AF39,AF43,AF47,AF55,AF51,AF59,AF63,AF67,AF71)</f>
        <v>#VALUE!</v>
      </c>
      <c r="AG97" s="74" t="e">
        <f>AVERAGE(AG3,AG7,AG11,AG15,AG19,AG23,AG27,AG31,AG35,AG39,AG43,AG47,AG55,AG51,AG59,AG63,AG67,AG71)</f>
        <v>#VALUE!</v>
      </c>
    </row>
    <row r="98" spans="2:33">
      <c r="B98" s="69" t="s">
        <v>58</v>
      </c>
      <c r="C98" s="69"/>
      <c r="D98" s="70"/>
      <c r="E98" s="71"/>
      <c r="F98" s="72"/>
      <c r="G98" s="71"/>
      <c r="H98" s="71"/>
      <c r="I98" s="71"/>
      <c r="J98" s="71"/>
      <c r="K98" s="71"/>
      <c r="L98" s="71"/>
      <c r="M98" s="71"/>
      <c r="N98" s="71"/>
      <c r="O98" s="71"/>
      <c r="P98" s="69"/>
      <c r="Q98" s="69"/>
      <c r="R98" s="69"/>
      <c r="S98" s="69"/>
      <c r="T98" s="74"/>
      <c r="U98" s="74" t="e">
        <f>GEOMEAN(U3:U90)</f>
        <v>#NUM!</v>
      </c>
      <c r="V98" s="74" t="e">
        <f>GEOMEAN(V3:V90)</f>
        <v>#NUM!</v>
      </c>
      <c r="W98" s="74"/>
      <c r="X98" s="74"/>
      <c r="Y98" s="74"/>
      <c r="Z98" s="74"/>
      <c r="AA98" s="74"/>
      <c r="AB98" s="74"/>
      <c r="AC98" s="74" t="e">
        <f>GEOMEAN(AC3:AC74)</f>
        <v>#NUM!</v>
      </c>
      <c r="AD98" s="74" t="e">
        <f>GEOMEAN(AD3:AD74)</f>
        <v>#NUM!</v>
      </c>
      <c r="AE98" s="69"/>
      <c r="AF98" s="69"/>
      <c r="AG98" s="69"/>
    </row>
    <row r="99" spans="2:33">
      <c r="B99" s="69" t="s">
        <v>59</v>
      </c>
      <c r="C99" s="69"/>
      <c r="D99" s="70"/>
      <c r="E99" s="71"/>
      <c r="F99" s="72"/>
      <c r="G99" s="71"/>
      <c r="H99" s="71"/>
      <c r="I99" s="71"/>
      <c r="J99" s="71"/>
      <c r="K99" s="71"/>
      <c r="L99" s="71"/>
      <c r="M99" s="71"/>
      <c r="N99" s="71"/>
      <c r="O99" s="71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75"/>
      <c r="AC99" s="75" t="e">
        <f>AC98/U98</f>
        <v>#NUM!</v>
      </c>
      <c r="AD99" s="75" t="e">
        <f>AD98/V98</f>
        <v>#NUM!</v>
      </c>
      <c r="AE99" s="69"/>
      <c r="AF99" s="69"/>
      <c r="AG99" s="69"/>
    </row>
    <row r="100" spans="2:33">
      <c r="B100" s="69" t="s">
        <v>60</v>
      </c>
      <c r="C100" s="69"/>
      <c r="D100" s="70"/>
      <c r="E100" s="71"/>
      <c r="F100" s="72"/>
      <c r="G100" s="71"/>
      <c r="H100" s="71"/>
      <c r="I100" s="71"/>
      <c r="J100" s="71"/>
      <c r="K100" s="71"/>
      <c r="L100" s="71"/>
      <c r="M100" s="71"/>
      <c r="N100" s="71"/>
      <c r="O100" s="71"/>
      <c r="P100" s="69"/>
      <c r="Q100" s="69"/>
      <c r="R100" s="69"/>
      <c r="S100" s="69"/>
      <c r="T100" s="73"/>
      <c r="U100" s="73">
        <f>SUM(U3:U74)/3600</f>
        <v>0</v>
      </c>
      <c r="V100" s="73">
        <f>SUM(V3:V74)</f>
        <v>1.3925130555555554</v>
      </c>
      <c r="W100" s="69"/>
      <c r="X100" s="69"/>
      <c r="Y100" s="69"/>
      <c r="Z100" s="69"/>
      <c r="AA100" s="69"/>
      <c r="AB100" s="73"/>
      <c r="AC100" s="73">
        <f>SUM(AC3:AC74)/3600</f>
        <v>0</v>
      </c>
      <c r="AD100" s="73">
        <f>SUM(AD3:AD74)</f>
        <v>14.414218055555557</v>
      </c>
      <c r="AE100" s="69"/>
      <c r="AF100" s="69"/>
      <c r="AG100" s="69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-31.350486023459464</v>
      </c>
      <c r="AF101" s="51">
        <f>AVERAGE(AF31,AF35,AF39,AF43,AF47,AF51,AF59,AF55,AF63,AF67,AF71,AF75,AF79,AF83,AF87)</f>
        <v>-34.716233235385694</v>
      </c>
      <c r="AG101" s="51">
        <f>AVERAGE(AG31,AG35,AG39,AG43,AG47,AG51,AG59,AG55,AG63,AG67,AG71,AG75,AG79,AG83,AG87)</f>
        <v>-35.348150648170424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0.25627331022165661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8.7329059155873452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21.391523333333332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119" priority="43" stopIfTrue="1" operator="between">
      <formula>-1</formula>
      <formula>1</formula>
    </cfRule>
    <cfRule type="cellIs" dxfId="118" priority="44" stopIfTrue="1" operator="lessThan">
      <formula>-3</formula>
    </cfRule>
    <cfRule type="cellIs" dxfId="117" priority="45" stopIfTrue="1" operator="greaterThan">
      <formula>3</formula>
    </cfRule>
  </conditionalFormatting>
  <conditionalFormatting sqref="AH3:AH6">
    <cfRule type="cellIs" dxfId="116" priority="40" stopIfTrue="1" operator="between">
      <formula>-1</formula>
      <formula>1</formula>
    </cfRule>
    <cfRule type="cellIs" dxfId="115" priority="41" stopIfTrue="1" operator="lessThan">
      <formula>-3</formula>
    </cfRule>
    <cfRule type="cellIs" dxfId="114" priority="42" stopIfTrue="1" operator="greaterThan">
      <formula>3</formula>
    </cfRule>
  </conditionalFormatting>
  <conditionalFormatting sqref="AH7:AH10">
    <cfRule type="cellIs" dxfId="113" priority="31" stopIfTrue="1" operator="between">
      <formula>-1</formula>
      <formula>1</formula>
    </cfRule>
    <cfRule type="cellIs" dxfId="112" priority="32" stopIfTrue="1" operator="lessThan">
      <formula>-3</formula>
    </cfRule>
    <cfRule type="cellIs" dxfId="111" priority="33" stopIfTrue="1" operator="greaterThan">
      <formula>3</formula>
    </cfRule>
  </conditionalFormatting>
  <conditionalFormatting sqref="AH11:AH74">
    <cfRule type="cellIs" dxfId="110" priority="25" stopIfTrue="1" operator="between">
      <formula>-1</formula>
      <formula>1</formula>
    </cfRule>
    <cfRule type="cellIs" dxfId="109" priority="26" stopIfTrue="1" operator="lessThan">
      <formula>-3</formula>
    </cfRule>
    <cfRule type="cellIs" dxfId="108" priority="27" stopIfTrue="1" operator="greaterThan">
      <formula>3</formula>
    </cfRule>
  </conditionalFormatting>
  <conditionalFormatting sqref="AE75:AG90">
    <cfRule type="cellIs" dxfId="107" priority="19" stopIfTrue="1" operator="between">
      <formula>-1</formula>
      <formula>1</formula>
    </cfRule>
    <cfRule type="cellIs" dxfId="106" priority="20" stopIfTrue="1" operator="lessThan">
      <formula>-3</formula>
    </cfRule>
    <cfRule type="cellIs" dxfId="105" priority="21" stopIfTrue="1" operator="greaterThan">
      <formula>3</formula>
    </cfRule>
  </conditionalFormatting>
  <conditionalFormatting sqref="AH75:AH90">
    <cfRule type="cellIs" dxfId="104" priority="16" stopIfTrue="1" operator="between">
      <formula>-1</formula>
      <formula>1</formula>
    </cfRule>
    <cfRule type="cellIs" dxfId="103" priority="17" stopIfTrue="1" operator="lessThan">
      <formula>-3</formula>
    </cfRule>
    <cfRule type="cellIs" dxfId="102" priority="18" stopIfTrue="1" operator="greaterThan">
      <formula>3</formula>
    </cfRule>
  </conditionalFormatting>
  <conditionalFormatting sqref="AE101:AG101">
    <cfRule type="cellIs" dxfId="101" priority="10" stopIfTrue="1" operator="between">
      <formula>-1</formula>
      <formula>1</formula>
    </cfRule>
    <cfRule type="cellIs" dxfId="100" priority="11" stopIfTrue="1" operator="lessThan">
      <formula>-3</formula>
    </cfRule>
    <cfRule type="cellIs" dxfId="99" priority="12" stopIfTrue="1" operator="greaterThan">
      <formula>3</formula>
    </cfRule>
  </conditionalFormatting>
  <conditionalFormatting sqref="AE96:AG96">
    <cfRule type="cellIs" dxfId="98" priority="1" stopIfTrue="1" operator="between">
      <formula>-1</formula>
      <formula>1</formula>
    </cfRule>
    <cfRule type="cellIs" dxfId="97" priority="2" stopIfTrue="1" operator="lessThan">
      <formula>-3</formula>
    </cfRule>
    <cfRule type="cellIs" dxfId="96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881F-CC98-4672-B477-EFC266ED4B1F}">
  <sheetPr codeName="Sheet3"/>
  <dimension ref="A1:AH104"/>
  <sheetViews>
    <sheetView topLeftCell="A61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62" t="s">
        <v>2</v>
      </c>
      <c r="M1" s="63"/>
      <c r="N1" s="63"/>
      <c r="O1" s="64"/>
      <c r="P1" s="65" t="s">
        <v>89</v>
      </c>
      <c r="Q1" s="66"/>
      <c r="R1" s="66"/>
      <c r="S1" s="66"/>
      <c r="T1" s="66"/>
      <c r="U1" s="66"/>
      <c r="V1" s="66"/>
      <c r="W1" s="66"/>
      <c r="X1" s="67" t="s">
        <v>88</v>
      </c>
      <c r="Y1" s="68"/>
      <c r="Z1" s="68"/>
      <c r="AA1" s="68"/>
      <c r="AB1" s="68"/>
      <c r="AC1" s="68"/>
      <c r="AD1" s="68"/>
      <c r="AE1" s="68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2706.5250000000001</v>
      </c>
      <c r="I31" s="32">
        <f t="shared" si="5"/>
        <v>44.221600000000002</v>
      </c>
      <c r="J31" s="32">
        <f t="shared" si="6"/>
        <v>2706.5250000000001</v>
      </c>
      <c r="K31" s="33">
        <f t="shared" si="7"/>
        <v>44.9497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2706.5250000000001</v>
      </c>
      <c r="Y31" s="29">
        <v>41.586199999999998</v>
      </c>
      <c r="Z31" s="29">
        <v>44.221600000000002</v>
      </c>
      <c r="AA31" s="29">
        <v>44.9497</v>
      </c>
      <c r="AB31" s="29">
        <v>262.82799999999997</v>
      </c>
      <c r="AC31" s="29"/>
      <c r="AD31" s="15">
        <f t="shared" si="10"/>
        <v>7.3007777777777769E-2</v>
      </c>
      <c r="AE31" s="19">
        <f>RBJM($P31:$Q34,X31:Y34)</f>
        <v>-30.993343143217032</v>
      </c>
      <c r="AF31" s="19">
        <f>RBJM($D31:$E34,H31:I34)</f>
        <v>-35.313145854073291</v>
      </c>
      <c r="AG31" s="19">
        <f>RBJM($F31:$G34,J31:K34)</f>
        <v>-37.340466785398817</v>
      </c>
      <c r="AH31" s="19">
        <f t="shared" si="12"/>
        <v>1.5938049555504346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1266.0625</v>
      </c>
      <c r="I32" s="34">
        <f t="shared" si="5"/>
        <v>41.923099999999998</v>
      </c>
      <c r="J32" s="34">
        <f t="shared" si="6"/>
        <v>1266.0625</v>
      </c>
      <c r="K32" s="35">
        <f t="shared" si="7"/>
        <v>42.262099999999997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1266.0625</v>
      </c>
      <c r="Y32" s="16">
        <v>38.536799999999999</v>
      </c>
      <c r="Z32" s="16">
        <v>41.923099999999998</v>
      </c>
      <c r="AA32" s="16">
        <v>42.262099999999997</v>
      </c>
      <c r="AB32" s="16">
        <v>167.547</v>
      </c>
      <c r="AC32" s="16"/>
      <c r="AD32" s="18">
        <f t="shared" si="10"/>
        <v>4.654083333333333E-2</v>
      </c>
      <c r="AE32" s="22"/>
      <c r="AF32" s="22"/>
      <c r="AG32" s="22"/>
      <c r="AH32" s="19">
        <f t="shared" si="12"/>
        <v>1.2969238628974828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625.54999999999995</v>
      </c>
      <c r="I33" s="34">
        <f t="shared" si="5"/>
        <v>39.889699999999998</v>
      </c>
      <c r="J33" s="34">
        <f t="shared" si="6"/>
        <v>625.54999999999995</v>
      </c>
      <c r="K33" s="35">
        <f t="shared" si="7"/>
        <v>39.9816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625.54999999999995</v>
      </c>
      <c r="Y33" s="16">
        <v>35.645499999999998</v>
      </c>
      <c r="Z33" s="16">
        <v>39.889699999999998</v>
      </c>
      <c r="AA33" s="16">
        <v>39.9816</v>
      </c>
      <c r="AB33" s="16">
        <v>105.14100000000001</v>
      </c>
      <c r="AC33" s="16"/>
      <c r="AD33" s="18">
        <f t="shared" si="10"/>
        <v>2.9205833333333334E-2</v>
      </c>
      <c r="AE33" s="22"/>
      <c r="AF33" s="22"/>
      <c r="AG33" s="22"/>
      <c r="AH33" s="19">
        <f t="shared" si="12"/>
        <v>0.93901883557055976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322.96249999999998</v>
      </c>
      <c r="I34" s="36">
        <f t="shared" si="5"/>
        <v>38.055300000000003</v>
      </c>
      <c r="J34" s="36">
        <f t="shared" si="6"/>
        <v>322.96249999999998</v>
      </c>
      <c r="K34" s="37">
        <f t="shared" si="7"/>
        <v>37.855899999999998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322.96249999999998</v>
      </c>
      <c r="Y34" s="27">
        <v>33.017200000000003</v>
      </c>
      <c r="Z34" s="27">
        <v>38.055300000000003</v>
      </c>
      <c r="AA34" s="27">
        <v>37.855899999999998</v>
      </c>
      <c r="AB34" s="27">
        <v>63.280999999999999</v>
      </c>
      <c r="AC34" s="27"/>
      <c r="AD34" s="26">
        <f t="shared" si="10"/>
        <v>1.7578055555555555E-2</v>
      </c>
      <c r="AE34" s="23"/>
      <c r="AF34" s="23"/>
      <c r="AG34" s="23"/>
      <c r="AH34" s="19">
        <f t="shared" si="12"/>
        <v>0.63519196988707649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3407.9850000000001</v>
      </c>
      <c r="I35" s="32">
        <f t="shared" si="5"/>
        <v>43.891599999999997</v>
      </c>
      <c r="J35" s="32">
        <f t="shared" si="6"/>
        <v>3407.9850000000001</v>
      </c>
      <c r="K35" s="33">
        <f t="shared" si="7"/>
        <v>45.448900000000002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3407.9850000000001</v>
      </c>
      <c r="Y35" s="29">
        <v>40.073099999999997</v>
      </c>
      <c r="Z35" s="29">
        <v>43.891599999999997</v>
      </c>
      <c r="AA35" s="29">
        <v>45.448900000000002</v>
      </c>
      <c r="AB35" s="29">
        <v>243.76599999999999</v>
      </c>
      <c r="AC35" s="29"/>
      <c r="AD35" s="15">
        <f t="shared" si="10"/>
        <v>6.7712777777777775E-2</v>
      </c>
      <c r="AE35" s="19">
        <f>RBJM($P35:$Q38,X35:Y38)</f>
        <v>-25.804042112752377</v>
      </c>
      <c r="AF35" s="19">
        <f>RBJM($D35:$E38,H35:I38)</f>
        <v>-36.553770865327515</v>
      </c>
      <c r="AG35" s="19">
        <f>RBJM($F35:$G38,J35:K38)</f>
        <v>-34.973159087097287</v>
      </c>
      <c r="AH35" s="19">
        <f t="shared" si="12"/>
        <v>1.6703394592224097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1675.8150000000001</v>
      </c>
      <c r="I36" s="34">
        <f t="shared" si="5"/>
        <v>41.995699999999999</v>
      </c>
      <c r="J36" s="34">
        <f t="shared" si="6"/>
        <v>1675.8150000000001</v>
      </c>
      <c r="K36" s="35">
        <f t="shared" si="7"/>
        <v>43.020899999999997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1675.8150000000001</v>
      </c>
      <c r="Y36" s="16">
        <v>37.491999999999997</v>
      </c>
      <c r="Z36" s="16">
        <v>41.995699999999999</v>
      </c>
      <c r="AA36" s="16">
        <v>43.020899999999997</v>
      </c>
      <c r="AB36" s="16">
        <v>149.547</v>
      </c>
      <c r="AC36" s="16"/>
      <c r="AD36" s="18">
        <f t="shared" si="10"/>
        <v>4.1540833333333332E-2</v>
      </c>
      <c r="AE36" s="22"/>
      <c r="AF36" s="22"/>
      <c r="AG36" s="22"/>
      <c r="AH36" s="19">
        <f t="shared" si="12"/>
        <v>1.2912910579214589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884.73</v>
      </c>
      <c r="I37" s="34">
        <f t="shared" si="5"/>
        <v>40.083599999999997</v>
      </c>
      <c r="J37" s="34">
        <f t="shared" si="6"/>
        <v>884.73</v>
      </c>
      <c r="K37" s="35">
        <f t="shared" si="7"/>
        <v>40.845799999999997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884.73</v>
      </c>
      <c r="Y37" s="16">
        <v>34.5914</v>
      </c>
      <c r="Z37" s="16">
        <v>40.083599999999997</v>
      </c>
      <c r="AA37" s="16">
        <v>40.845799999999997</v>
      </c>
      <c r="AB37" s="16">
        <v>93.328000000000003</v>
      </c>
      <c r="AC37" s="16"/>
      <c r="AD37" s="18">
        <f t="shared" si="10"/>
        <v>2.5924444444444444E-2</v>
      </c>
      <c r="AE37" s="22"/>
      <c r="AF37" s="22"/>
      <c r="AG37" s="22"/>
      <c r="AH37" s="19">
        <f t="shared" si="12"/>
        <v>0.93356940651602005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479.26499999999999</v>
      </c>
      <c r="I38" s="36">
        <f t="shared" si="5"/>
        <v>38.273800000000001</v>
      </c>
      <c r="J38" s="36">
        <f t="shared" si="6"/>
        <v>479.26499999999999</v>
      </c>
      <c r="K38" s="37">
        <f t="shared" si="7"/>
        <v>38.886699999999998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479.26499999999999</v>
      </c>
      <c r="Y38" s="27">
        <v>31.8047</v>
      </c>
      <c r="Z38" s="27">
        <v>38.273800000000001</v>
      </c>
      <c r="AA38" s="27">
        <v>38.886699999999998</v>
      </c>
      <c r="AB38" s="27">
        <v>59.421999999999997</v>
      </c>
      <c r="AC38" s="27"/>
      <c r="AD38" s="26">
        <f t="shared" si="10"/>
        <v>1.650611111111111E-2</v>
      </c>
      <c r="AE38" s="23"/>
      <c r="AF38" s="23"/>
      <c r="AG38" s="23"/>
      <c r="AH38" s="19">
        <f t="shared" si="12"/>
        <v>0.65762126628227402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8579.9249999999993</v>
      </c>
      <c r="I39" s="32">
        <f t="shared" si="5"/>
        <v>41.560400000000001</v>
      </c>
      <c r="J39" s="32">
        <f t="shared" si="6"/>
        <v>8579.9249999999993</v>
      </c>
      <c r="K39" s="33">
        <f t="shared" si="7"/>
        <v>42.292499999999997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8579.9249999999993</v>
      </c>
      <c r="Y39" s="29">
        <v>38.4011</v>
      </c>
      <c r="Z39" s="29">
        <v>41.560400000000001</v>
      </c>
      <c r="AA39" s="29">
        <v>42.292499999999997</v>
      </c>
      <c r="AB39" s="29">
        <v>407.60899999999998</v>
      </c>
      <c r="AC39" s="29"/>
      <c r="AD39" s="15">
        <f t="shared" si="10"/>
        <v>0.11322472222222221</v>
      </c>
      <c r="AE39" s="19">
        <f>RBJM($P39:$Q42,X39:Y42)</f>
        <v>-19.111597750925302</v>
      </c>
      <c r="AF39" s="19">
        <f>RBJM($D39:$E42,H39:I42)</f>
        <v>-22.292820492688005</v>
      </c>
      <c r="AG39" s="19">
        <f>RBJM($F39:$G42,J39:K42)</f>
        <v>-24.787986187786672</v>
      </c>
      <c r="AH39" s="19">
        <f t="shared" si="12"/>
        <v>1.9212701974019117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4062.0374999999999</v>
      </c>
      <c r="I40" s="34">
        <f t="shared" si="5"/>
        <v>38.900300000000001</v>
      </c>
      <c r="J40" s="34">
        <f t="shared" si="6"/>
        <v>4062.0374999999999</v>
      </c>
      <c r="K40" s="35">
        <f t="shared" si="7"/>
        <v>39.438099999999999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4062.0374999999999</v>
      </c>
      <c r="Y40" s="16">
        <v>34.457900000000002</v>
      </c>
      <c r="Z40" s="16">
        <v>38.900300000000001</v>
      </c>
      <c r="AA40" s="16">
        <v>39.438099999999999</v>
      </c>
      <c r="AB40" s="16">
        <v>271.15600000000001</v>
      </c>
      <c r="AC40" s="16"/>
      <c r="AD40" s="18">
        <f t="shared" si="10"/>
        <v>7.5321111111111116E-2</v>
      </c>
      <c r="AE40" s="22"/>
      <c r="AF40" s="22"/>
      <c r="AG40" s="22"/>
      <c r="AH40" s="19">
        <f t="shared" si="12"/>
        <v>1.7127949871140531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1962.5125</v>
      </c>
      <c r="I41" s="34">
        <f t="shared" si="5"/>
        <v>36.802</v>
      </c>
      <c r="J41" s="34">
        <f t="shared" si="6"/>
        <v>1962.5125</v>
      </c>
      <c r="K41" s="35">
        <f t="shared" si="7"/>
        <v>37.191299999999998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1962.5125</v>
      </c>
      <c r="Y41" s="16">
        <v>31.068999999999999</v>
      </c>
      <c r="Z41" s="16">
        <v>36.802</v>
      </c>
      <c r="AA41" s="16">
        <v>37.191299999999998</v>
      </c>
      <c r="AB41" s="16">
        <v>188.18799999999999</v>
      </c>
      <c r="AC41" s="16"/>
      <c r="AD41" s="18">
        <f t="shared" si="10"/>
        <v>5.2274444444444443E-2</v>
      </c>
      <c r="AE41" s="22"/>
      <c r="AF41" s="22"/>
      <c r="AG41" s="22"/>
      <c r="AH41" s="19">
        <f t="shared" si="12"/>
        <v>1.4721970147385548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946.375</v>
      </c>
      <c r="I42" s="36">
        <f t="shared" si="5"/>
        <v>35.202500000000001</v>
      </c>
      <c r="J42" s="36">
        <f t="shared" si="6"/>
        <v>946.375</v>
      </c>
      <c r="K42" s="37">
        <f t="shared" si="7"/>
        <v>35.292400000000001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946.375</v>
      </c>
      <c r="Y42" s="27">
        <v>28.132000000000001</v>
      </c>
      <c r="Z42" s="27">
        <v>35.202500000000001</v>
      </c>
      <c r="AA42" s="27">
        <v>35.292400000000001</v>
      </c>
      <c r="AB42" s="27">
        <v>113.562</v>
      </c>
      <c r="AC42" s="27"/>
      <c r="AD42" s="26">
        <f t="shared" si="10"/>
        <v>3.1544999999999997E-2</v>
      </c>
      <c r="AE42" s="23"/>
      <c r="AF42" s="23"/>
      <c r="AG42" s="23"/>
      <c r="AH42" s="19">
        <f t="shared" si="12"/>
        <v>1.0792917628945342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4548.6450000000004</v>
      </c>
      <c r="I43" s="32">
        <f t="shared" si="5"/>
        <v>41.235399999999998</v>
      </c>
      <c r="J43" s="32">
        <f t="shared" si="6"/>
        <v>4548.6450000000004</v>
      </c>
      <c r="K43" s="33">
        <f t="shared" si="7"/>
        <v>42.378599999999999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4548.6450000000004</v>
      </c>
      <c r="Y43" s="29">
        <v>38.674799999999998</v>
      </c>
      <c r="Z43" s="29">
        <v>41.235399999999998</v>
      </c>
      <c r="AA43" s="29">
        <v>42.378599999999999</v>
      </c>
      <c r="AB43" s="29">
        <v>559.125</v>
      </c>
      <c r="AC43" s="29"/>
      <c r="AD43" s="15">
        <f t="shared" si="10"/>
        <v>0.15531249999999999</v>
      </c>
      <c r="AE43" s="19">
        <f>RBJM($P43:$Q46,X43:Y46)</f>
        <v>-23.794637459581182</v>
      </c>
      <c r="AF43" s="19">
        <f>RBJM($D43:$E46,H43:I46)</f>
        <v>-14.845101732241838</v>
      </c>
      <c r="AG43" s="19">
        <f>RBJM($F43:$G46,J43:K46)</f>
        <v>-18.522040103969484</v>
      </c>
      <c r="AH43" s="19">
        <f t="shared" si="12"/>
        <v>2.1437855620140178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1984.6724999999999</v>
      </c>
      <c r="I44" s="34">
        <f t="shared" si="5"/>
        <v>38.975099999999998</v>
      </c>
      <c r="J44" s="34">
        <f t="shared" si="6"/>
        <v>1984.6724999999999</v>
      </c>
      <c r="K44" s="35">
        <f t="shared" si="7"/>
        <v>40.134500000000003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1984.6724999999999</v>
      </c>
      <c r="Y44" s="16">
        <v>35.479100000000003</v>
      </c>
      <c r="Z44" s="16">
        <v>38.975099999999998</v>
      </c>
      <c r="AA44" s="16">
        <v>40.134500000000003</v>
      </c>
      <c r="AB44" s="16">
        <v>351.59399999999999</v>
      </c>
      <c r="AC44" s="16"/>
      <c r="AD44" s="18">
        <f t="shared" si="10"/>
        <v>9.7665000000000002E-2</v>
      </c>
      <c r="AE44" s="22"/>
      <c r="AF44" s="22"/>
      <c r="AG44" s="22"/>
      <c r="AH44" s="19">
        <f t="shared" si="12"/>
        <v>1.8079693935794394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939.03</v>
      </c>
      <c r="I45" s="34">
        <f t="shared" si="5"/>
        <v>37.053600000000003</v>
      </c>
      <c r="J45" s="34">
        <f t="shared" si="6"/>
        <v>939.03</v>
      </c>
      <c r="K45" s="35">
        <f t="shared" si="7"/>
        <v>38.259300000000003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939.03</v>
      </c>
      <c r="Y45" s="16">
        <v>32.489199999999997</v>
      </c>
      <c r="Z45" s="16">
        <v>37.053600000000003</v>
      </c>
      <c r="AA45" s="16">
        <v>38.259300000000003</v>
      </c>
      <c r="AB45" s="16">
        <v>231.43799999999999</v>
      </c>
      <c r="AC45" s="16"/>
      <c r="AD45" s="18">
        <f t="shared" si="10"/>
        <v>6.4288333333333336E-2</v>
      </c>
      <c r="AE45" s="22"/>
      <c r="AF45" s="22"/>
      <c r="AG45" s="22"/>
      <c r="AH45" s="19">
        <f t="shared" si="12"/>
        <v>1.4414244964561975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448.2</v>
      </c>
      <c r="I46" s="36">
        <f t="shared" si="5"/>
        <v>35.679200000000002</v>
      </c>
      <c r="J46" s="36">
        <f t="shared" si="6"/>
        <v>448.2</v>
      </c>
      <c r="K46" s="37">
        <f t="shared" si="7"/>
        <v>36.614400000000003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448.2</v>
      </c>
      <c r="Y46" s="27">
        <v>29.688099999999999</v>
      </c>
      <c r="Z46" s="27">
        <v>35.679200000000002</v>
      </c>
      <c r="AA46" s="27">
        <v>36.614400000000003</v>
      </c>
      <c r="AB46" s="27">
        <v>144.18799999999999</v>
      </c>
      <c r="AC46" s="27"/>
      <c r="AD46" s="26">
        <f t="shared" si="10"/>
        <v>4.0052222222222218E-2</v>
      </c>
      <c r="AE46" s="23"/>
      <c r="AF46" s="23"/>
      <c r="AG46" s="23"/>
      <c r="AH46" s="19">
        <f t="shared" si="12"/>
        <v>1.0671975960150692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665.83749999999998</v>
      </c>
      <c r="I47" s="32">
        <f t="shared" si="5"/>
        <v>45.767099999999999</v>
      </c>
      <c r="J47" s="32">
        <f t="shared" si="6"/>
        <v>665.83749999999998</v>
      </c>
      <c r="K47" s="33">
        <f t="shared" si="7"/>
        <v>45.174300000000002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665.83749999999998</v>
      </c>
      <c r="Y47" s="29">
        <v>42.270099999999999</v>
      </c>
      <c r="Z47" s="29">
        <v>45.767099999999999</v>
      </c>
      <c r="AA47" s="29">
        <v>45.174300000000002</v>
      </c>
      <c r="AB47" s="29">
        <v>49.561999999999998</v>
      </c>
      <c r="AC47" s="29"/>
      <c r="AD47" s="15">
        <f t="shared" si="10"/>
        <v>1.3767222222222222E-2</v>
      </c>
      <c r="AE47" s="19">
        <f>RBJM($P47:$Q50,X47:Y50)</f>
        <v>-19.684826038873005</v>
      </c>
      <c r="AF47" s="19">
        <f>RBJM($D47:$E50,H47:I50)</f>
        <v>-32.670964277434855</v>
      </c>
      <c r="AG47" s="19">
        <f>RBJM($F47:$G50,J47:K50)</f>
        <v>-25.143690485063118</v>
      </c>
      <c r="AH47" s="19">
        <f t="shared" si="12"/>
        <v>1.6854383459157996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333.73750000000001</v>
      </c>
      <c r="I48" s="34">
        <f t="shared" si="5"/>
        <v>43.101399999999998</v>
      </c>
      <c r="J48" s="34">
        <f t="shared" si="6"/>
        <v>333.73750000000001</v>
      </c>
      <c r="K48" s="35">
        <f t="shared" si="7"/>
        <v>42.142699999999998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333.73750000000001</v>
      </c>
      <c r="Y48" s="16">
        <v>38.464199999999998</v>
      </c>
      <c r="Z48" s="16">
        <v>43.101399999999998</v>
      </c>
      <c r="AA48" s="16">
        <v>42.142699999999998</v>
      </c>
      <c r="AB48" s="16">
        <v>31.765999999999998</v>
      </c>
      <c r="AC48" s="16"/>
      <c r="AD48" s="18">
        <f t="shared" si="10"/>
        <v>8.8238888888888881E-3</v>
      </c>
      <c r="AE48" s="22"/>
      <c r="AF48" s="22"/>
      <c r="AG48" s="22"/>
      <c r="AH48" s="19">
        <f t="shared" si="12"/>
        <v>1.2982140667783726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170.53749999999999</v>
      </c>
      <c r="I49" s="34">
        <f t="shared" si="5"/>
        <v>40.714100000000002</v>
      </c>
      <c r="J49" s="34">
        <f t="shared" si="6"/>
        <v>170.53749999999999</v>
      </c>
      <c r="K49" s="35">
        <f t="shared" si="7"/>
        <v>39.562899999999999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170.53749999999999</v>
      </c>
      <c r="Y49" s="16">
        <v>35.112900000000003</v>
      </c>
      <c r="Z49" s="16">
        <v>40.714100000000002</v>
      </c>
      <c r="AA49" s="16">
        <v>39.562899999999999</v>
      </c>
      <c r="AB49" s="16">
        <v>20.640999999999998</v>
      </c>
      <c r="AC49" s="16"/>
      <c r="AD49" s="18">
        <f t="shared" si="10"/>
        <v>5.7336111111111103E-3</v>
      </c>
      <c r="AE49" s="22"/>
      <c r="AF49" s="22"/>
      <c r="AG49" s="22"/>
      <c r="AH49" s="19">
        <f t="shared" si="12"/>
        <v>0.94696517869431562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93.662499999999994</v>
      </c>
      <c r="I50" s="36">
        <f t="shared" si="5"/>
        <v>38.837600000000002</v>
      </c>
      <c r="J50" s="36">
        <f t="shared" si="6"/>
        <v>93.662499999999994</v>
      </c>
      <c r="K50" s="37">
        <f t="shared" si="7"/>
        <v>37.482300000000002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93.662499999999994</v>
      </c>
      <c r="Y50" s="27">
        <v>32.389299999999999</v>
      </c>
      <c r="Z50" s="27">
        <v>38.837600000000002</v>
      </c>
      <c r="AA50" s="27">
        <v>37.482300000000002</v>
      </c>
      <c r="AB50" s="27">
        <v>13.484</v>
      </c>
      <c r="AC50" s="27"/>
      <c r="AD50" s="26">
        <f t="shared" si="10"/>
        <v>3.7455555555555554E-3</v>
      </c>
      <c r="AE50" s="23"/>
      <c r="AF50" s="23"/>
      <c r="AG50" s="23"/>
      <c r="AH50" s="19">
        <f t="shared" si="12"/>
        <v>0.68111329999494874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1439.3</v>
      </c>
      <c r="I51" s="30">
        <f t="shared" si="5"/>
        <v>41.570999999999998</v>
      </c>
      <c r="J51" s="30">
        <f t="shared" si="6"/>
        <v>1439.3</v>
      </c>
      <c r="K51" s="31">
        <f t="shared" si="7"/>
        <v>43.639899999999997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1439.3</v>
      </c>
      <c r="Y51" s="29">
        <v>38.435299999999998</v>
      </c>
      <c r="Z51" s="29">
        <v>41.570999999999998</v>
      </c>
      <c r="AA51" s="29">
        <v>43.639899999999997</v>
      </c>
      <c r="AB51" s="29">
        <v>97.703000000000003</v>
      </c>
      <c r="AC51" s="29"/>
      <c r="AD51" s="15">
        <f t="shared" si="10"/>
        <v>2.7139722222222221E-2</v>
      </c>
      <c r="AE51" s="19">
        <f>RBJM($P51:$Q54,X51:Y54)</f>
        <v>-19.760188453174887</v>
      </c>
      <c r="AF51" s="19">
        <f>RBJM($D51:$E54,H51:I54)</f>
        <v>-16.902082640029903</v>
      </c>
      <c r="AG51" s="19">
        <f>RBJM($F51:$G54,J51:K54)</f>
        <v>-20.813464977147124</v>
      </c>
      <c r="AH51" s="19">
        <f t="shared" si="12"/>
        <v>2.1153329869230104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645.15</v>
      </c>
      <c r="I52" s="13">
        <f t="shared" si="5"/>
        <v>38.9953</v>
      </c>
      <c r="J52" s="13">
        <f t="shared" si="6"/>
        <v>645.15</v>
      </c>
      <c r="K52" s="14">
        <f t="shared" si="7"/>
        <v>40.954599999999999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645.15</v>
      </c>
      <c r="Y52" s="16">
        <v>35.101500000000001</v>
      </c>
      <c r="Z52" s="16">
        <v>38.9953</v>
      </c>
      <c r="AA52" s="16">
        <v>40.954599999999999</v>
      </c>
      <c r="AB52" s="16">
        <v>62.140999999999998</v>
      </c>
      <c r="AC52" s="16"/>
      <c r="AD52" s="18">
        <f t="shared" si="10"/>
        <v>1.7261388888888889E-2</v>
      </c>
      <c r="AE52" s="22"/>
      <c r="AF52" s="22"/>
      <c r="AG52" s="22"/>
      <c r="AH52" s="19">
        <f t="shared" si="12"/>
        <v>1.8446034196152932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307.96249999999998</v>
      </c>
      <c r="I53" s="13">
        <f t="shared" si="5"/>
        <v>36.8645</v>
      </c>
      <c r="J53" s="13">
        <f t="shared" si="6"/>
        <v>307.96249999999998</v>
      </c>
      <c r="K53" s="14">
        <f t="shared" si="7"/>
        <v>38.759900000000002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307.96249999999998</v>
      </c>
      <c r="Y53" s="16">
        <v>32.153599999999997</v>
      </c>
      <c r="Z53" s="16">
        <v>36.8645</v>
      </c>
      <c r="AA53" s="16">
        <v>38.759900000000002</v>
      </c>
      <c r="AB53" s="16">
        <v>38.109000000000002</v>
      </c>
      <c r="AC53" s="16"/>
      <c r="AD53" s="18">
        <f t="shared" si="10"/>
        <v>1.0585833333333334E-2</v>
      </c>
      <c r="AE53" s="22"/>
      <c r="AF53" s="22"/>
      <c r="AG53" s="22"/>
      <c r="AH53" s="19">
        <f t="shared" si="12"/>
        <v>1.3897235796076144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152.6875</v>
      </c>
      <c r="I54" s="24">
        <f t="shared" si="5"/>
        <v>35.100499999999997</v>
      </c>
      <c r="J54" s="24">
        <f t="shared" si="6"/>
        <v>152.6875</v>
      </c>
      <c r="K54" s="25">
        <f t="shared" si="7"/>
        <v>36.867800000000003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152.6875</v>
      </c>
      <c r="Y54" s="27">
        <v>29.6616</v>
      </c>
      <c r="Z54" s="27">
        <v>35.100499999999997</v>
      </c>
      <c r="AA54" s="27">
        <v>36.867800000000003</v>
      </c>
      <c r="AB54" s="27">
        <v>22.297000000000001</v>
      </c>
      <c r="AC54" s="27"/>
      <c r="AD54" s="26">
        <f t="shared" si="10"/>
        <v>6.1936111111111115E-3</v>
      </c>
      <c r="AE54" s="23"/>
      <c r="AF54" s="23"/>
      <c r="AG54" s="23"/>
      <c r="AH54" s="19">
        <f t="shared" si="12"/>
        <v>0.95967117155892223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1305.72</v>
      </c>
      <c r="I55" s="32">
        <f t="shared" si="5"/>
        <v>44.8797</v>
      </c>
      <c r="J55" s="32">
        <f t="shared" si="6"/>
        <v>1305.72</v>
      </c>
      <c r="K55" s="33">
        <f t="shared" si="7"/>
        <v>45.851999999999997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1305.72</v>
      </c>
      <c r="Y55" s="29">
        <v>39.059800000000003</v>
      </c>
      <c r="Z55" s="29">
        <v>44.8797</v>
      </c>
      <c r="AA55" s="29">
        <v>45.851999999999997</v>
      </c>
      <c r="AB55" s="29">
        <v>52.359000000000002</v>
      </c>
      <c r="AC55" s="29"/>
      <c r="AD55" s="15">
        <f t="shared" si="10"/>
        <v>1.4544166666666667E-2</v>
      </c>
      <c r="AE55" s="19">
        <f>RBJM($P55:$Q58,X55:Y58)</f>
        <v>-21.77483678454778</v>
      </c>
      <c r="AF55" s="19">
        <f>RBJM($D55:$E58,H55:I58)</f>
        <v>-33.89484327945673</v>
      </c>
      <c r="AG55" s="19">
        <f>RBJM($F55:$G58,J55:K58)</f>
        <v>-34.997196799374784</v>
      </c>
      <c r="AH55" s="19">
        <f t="shared" si="12"/>
        <v>1.4833838569850131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596.92499999999995</v>
      </c>
      <c r="I56" s="34">
        <f t="shared" si="5"/>
        <v>42.652999999999999</v>
      </c>
      <c r="J56" s="34">
        <f t="shared" si="6"/>
        <v>596.92499999999995</v>
      </c>
      <c r="K56" s="35">
        <f t="shared" si="7"/>
        <v>43.424300000000002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596.92499999999995</v>
      </c>
      <c r="Y56" s="16">
        <v>35.484000000000002</v>
      </c>
      <c r="Z56" s="16">
        <v>42.652999999999999</v>
      </c>
      <c r="AA56" s="16">
        <v>43.424300000000002</v>
      </c>
      <c r="AB56" s="16">
        <v>30.922000000000001</v>
      </c>
      <c r="AC56" s="16"/>
      <c r="AD56" s="18">
        <f t="shared" si="10"/>
        <v>8.5894444444444447E-3</v>
      </c>
      <c r="AE56" s="22"/>
      <c r="AF56" s="22"/>
      <c r="AG56" s="22"/>
      <c r="AH56" s="19">
        <f t="shared" si="12"/>
        <v>1.2096862530318442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303.60000000000002</v>
      </c>
      <c r="I57" s="34">
        <f t="shared" si="5"/>
        <v>40.719099999999997</v>
      </c>
      <c r="J57" s="34">
        <f t="shared" si="6"/>
        <v>303.60000000000002</v>
      </c>
      <c r="K57" s="35">
        <f t="shared" si="7"/>
        <v>41.361600000000003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303.60000000000002</v>
      </c>
      <c r="Y57" s="16">
        <v>32.227400000000003</v>
      </c>
      <c r="Z57" s="16">
        <v>40.719099999999997</v>
      </c>
      <c r="AA57" s="16">
        <v>41.361600000000003</v>
      </c>
      <c r="AB57" s="16">
        <v>19.452999999999999</v>
      </c>
      <c r="AC57" s="16"/>
      <c r="AD57" s="18">
        <f t="shared" si="10"/>
        <v>5.4036111111111108E-3</v>
      </c>
      <c r="AE57" s="22"/>
      <c r="AF57" s="22"/>
      <c r="AG57" s="22"/>
      <c r="AH57" s="19">
        <f t="shared" si="12"/>
        <v>0.91140367316341819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175.98</v>
      </c>
      <c r="I58" s="36">
        <f t="shared" si="5"/>
        <v>38.816000000000003</v>
      </c>
      <c r="J58" s="36">
        <f t="shared" si="6"/>
        <v>175.98</v>
      </c>
      <c r="K58" s="37">
        <f t="shared" si="7"/>
        <v>39.353200000000001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175.98</v>
      </c>
      <c r="Y58" s="27">
        <v>29.5685</v>
      </c>
      <c r="Z58" s="27">
        <v>38.816000000000003</v>
      </c>
      <c r="AA58" s="27">
        <v>39.353200000000001</v>
      </c>
      <c r="AB58" s="27">
        <v>12.718999999999999</v>
      </c>
      <c r="AC58" s="27"/>
      <c r="AD58" s="26">
        <f t="shared" si="10"/>
        <v>3.5330555555555553E-3</v>
      </c>
      <c r="AE58" s="23"/>
      <c r="AF58" s="23"/>
      <c r="AG58" s="23"/>
      <c r="AH58" s="19">
        <f t="shared" si="12"/>
        <v>0.66127690547987927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1188.4649999999999</v>
      </c>
      <c r="I59" s="30">
        <f t="shared" si="5"/>
        <v>41.4101</v>
      </c>
      <c r="J59" s="30">
        <f t="shared" si="6"/>
        <v>1188.4649999999999</v>
      </c>
      <c r="K59" s="31">
        <f t="shared" si="7"/>
        <v>41.914000000000001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1188.4649999999999</v>
      </c>
      <c r="Y59" s="29">
        <v>39.148600000000002</v>
      </c>
      <c r="Z59" s="29">
        <v>41.4101</v>
      </c>
      <c r="AA59" s="29">
        <v>41.914000000000001</v>
      </c>
      <c r="AB59" s="29">
        <v>129.703</v>
      </c>
      <c r="AC59" s="29"/>
      <c r="AD59" s="15">
        <f t="shared" si="10"/>
        <v>3.6028611111111108E-2</v>
      </c>
      <c r="AE59" s="19">
        <f>RBJM($P59:$Q62,X59:Y62)</f>
        <v>-20.115496257724384</v>
      </c>
      <c r="AF59" s="19">
        <f>RBJM($D59:$E62,H59:I62)</f>
        <v>-16.444035687544321</v>
      </c>
      <c r="AG59" s="19">
        <f>RBJM($F59:$G62,J59:K62)</f>
        <v>-12.443291191912421</v>
      </c>
      <c r="AH59" s="19">
        <f t="shared" si="12"/>
        <v>2.1165287772719115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576.42750000000001</v>
      </c>
      <c r="I60" s="13">
        <f t="shared" si="5"/>
        <v>38.781700000000001</v>
      </c>
      <c r="J60" s="13">
        <f t="shared" si="6"/>
        <v>576.42750000000001</v>
      </c>
      <c r="K60" s="14">
        <f t="shared" si="7"/>
        <v>38.982999999999997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576.42750000000001</v>
      </c>
      <c r="Y60" s="16">
        <v>35.130099999999999</v>
      </c>
      <c r="Z60" s="16">
        <v>38.781700000000001</v>
      </c>
      <c r="AA60" s="16">
        <v>38.982999999999997</v>
      </c>
      <c r="AB60" s="16">
        <v>87.5</v>
      </c>
      <c r="AC60" s="16"/>
      <c r="AD60" s="18">
        <f t="shared" si="10"/>
        <v>2.4305555555555556E-2</v>
      </c>
      <c r="AE60" s="22"/>
      <c r="AF60" s="22"/>
      <c r="AG60" s="22"/>
      <c r="AH60" s="19">
        <f t="shared" si="12"/>
        <v>1.8530676210847328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281.60250000000002</v>
      </c>
      <c r="I61" s="13">
        <f t="shared" si="5"/>
        <v>36.585099999999997</v>
      </c>
      <c r="J61" s="13">
        <f t="shared" si="6"/>
        <v>281.60250000000002</v>
      </c>
      <c r="K61" s="14">
        <f t="shared" si="7"/>
        <v>36.585500000000003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281.60250000000002</v>
      </c>
      <c r="Y61" s="16">
        <v>31.653099999999998</v>
      </c>
      <c r="Z61" s="16">
        <v>36.585099999999997</v>
      </c>
      <c r="AA61" s="16">
        <v>36.585500000000003</v>
      </c>
      <c r="AB61" s="16">
        <v>58.094000000000001</v>
      </c>
      <c r="AC61" s="16"/>
      <c r="AD61" s="18">
        <f t="shared" si="10"/>
        <v>1.6137222222222223E-2</v>
      </c>
      <c r="AE61" s="22"/>
      <c r="AF61" s="22"/>
      <c r="AG61" s="22"/>
      <c r="AH61" s="19">
        <f t="shared" si="12"/>
        <v>1.5010205927189106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142.54499999999999</v>
      </c>
      <c r="I62" s="38">
        <f t="shared" si="5"/>
        <v>34.969200000000001</v>
      </c>
      <c r="J62" s="38">
        <f t="shared" si="6"/>
        <v>142.54499999999999</v>
      </c>
      <c r="K62" s="39">
        <f t="shared" si="7"/>
        <v>34.915799999999997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142.54499999999999</v>
      </c>
      <c r="Y62" s="27">
        <v>28.853100000000001</v>
      </c>
      <c r="Z62" s="27">
        <v>34.969200000000001</v>
      </c>
      <c r="AA62" s="27">
        <v>34.915799999999997</v>
      </c>
      <c r="AB62" s="27">
        <v>35.155999999999999</v>
      </c>
      <c r="AC62" s="27"/>
      <c r="AD62" s="26">
        <f t="shared" si="10"/>
        <v>9.7655555555555551E-3</v>
      </c>
      <c r="AE62" s="23"/>
      <c r="AF62" s="23"/>
      <c r="AG62" s="23"/>
      <c r="AH62" s="19">
        <f t="shared" si="12"/>
        <v>1.1007577180787775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2020.83</v>
      </c>
      <c r="I63" s="32">
        <f t="shared" si="5"/>
        <v>48.020600000000002</v>
      </c>
      <c r="J63" s="32">
        <f t="shared" si="6"/>
        <v>2020.83</v>
      </c>
      <c r="K63" s="33">
        <f t="shared" si="7"/>
        <v>49.475999999999999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2020.83</v>
      </c>
      <c r="Y63" s="29">
        <v>43.337200000000003</v>
      </c>
      <c r="Z63" s="29">
        <v>48.020600000000002</v>
      </c>
      <c r="AA63" s="29">
        <v>49.475999999999999</v>
      </c>
      <c r="AB63" s="29">
        <v>182.01599999999999</v>
      </c>
      <c r="AC63" s="29"/>
      <c r="AD63" s="15">
        <f t="shared" si="10"/>
        <v>5.0560000000000001E-2</v>
      </c>
      <c r="AE63" s="19">
        <f>RBJM($P63:$Q66,X63:Y66)</f>
        <v>-29.001468746890435</v>
      </c>
      <c r="AF63" s="19">
        <f>RBJM($D63:$E66,H63:I66)</f>
        <v>-41.121188955511414</v>
      </c>
      <c r="AG63" s="19">
        <f>RBJM($F63:$G66,J63:K66)</f>
        <v>-39.74870050989734</v>
      </c>
      <c r="AH63" s="19">
        <f t="shared" si="12"/>
        <v>0.89039340188433724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1034.52</v>
      </c>
      <c r="I64" s="34">
        <f t="shared" si="5"/>
        <v>46.464300000000001</v>
      </c>
      <c r="J64" s="34">
        <f t="shared" si="6"/>
        <v>1034.52</v>
      </c>
      <c r="K64" s="35">
        <f t="shared" si="7"/>
        <v>47.765000000000001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1034.52</v>
      </c>
      <c r="Y64" s="16">
        <v>41.770699999999998</v>
      </c>
      <c r="Z64" s="16">
        <v>46.464300000000001</v>
      </c>
      <c r="AA64" s="16">
        <v>47.765000000000001</v>
      </c>
      <c r="AB64" s="16">
        <v>100.78100000000001</v>
      </c>
      <c r="AC64" s="16"/>
      <c r="AD64" s="18">
        <f t="shared" si="10"/>
        <v>2.7994722222222223E-2</v>
      </c>
      <c r="AE64" s="22"/>
      <c r="AF64" s="22"/>
      <c r="AG64" s="22"/>
      <c r="AH64" s="19">
        <f t="shared" si="12"/>
        <v>0.56336540127787316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605.42999999999995</v>
      </c>
      <c r="I65" s="34">
        <f t="shared" si="5"/>
        <v>44.861899999999999</v>
      </c>
      <c r="J65" s="34">
        <f t="shared" si="6"/>
        <v>605.42999999999995</v>
      </c>
      <c r="K65" s="35">
        <f t="shared" si="7"/>
        <v>45.970500000000001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605.42999999999995</v>
      </c>
      <c r="Y65" s="16">
        <v>39.595199999999998</v>
      </c>
      <c r="Z65" s="16">
        <v>44.861899999999999</v>
      </c>
      <c r="AA65" s="16">
        <v>45.970500000000001</v>
      </c>
      <c r="AB65" s="16">
        <v>65.125</v>
      </c>
      <c r="AC65" s="16"/>
      <c r="AD65" s="18">
        <f t="shared" si="10"/>
        <v>1.8090277777777778E-2</v>
      </c>
      <c r="AE65" s="22"/>
      <c r="AF65" s="22"/>
      <c r="AG65" s="22"/>
      <c r="AH65" s="19">
        <f t="shared" si="12"/>
        <v>0.38277076072198946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362.79</v>
      </c>
      <c r="I66" s="36">
        <f t="shared" si="5"/>
        <v>42.441699999999997</v>
      </c>
      <c r="J66" s="36">
        <f t="shared" si="6"/>
        <v>362.79</v>
      </c>
      <c r="K66" s="37">
        <f t="shared" si="7"/>
        <v>43.740299999999998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362.79</v>
      </c>
      <c r="Y66" s="27">
        <v>36.979100000000003</v>
      </c>
      <c r="Z66" s="27">
        <v>42.441699999999997</v>
      </c>
      <c r="AA66" s="27">
        <v>43.740299999999998</v>
      </c>
      <c r="AB66" s="27">
        <v>46.546999999999997</v>
      </c>
      <c r="AC66" s="27"/>
      <c r="AD66" s="26">
        <f t="shared" si="10"/>
        <v>1.2929722222222221E-2</v>
      </c>
      <c r="AE66" s="23"/>
      <c r="AF66" s="23"/>
      <c r="AG66" s="23"/>
      <c r="AH66" s="19">
        <f t="shared" si="12"/>
        <v>0.28274563401670461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1606.9349999999999</v>
      </c>
      <c r="I67" s="30">
        <f t="shared" ref="I67:I90" si="18">Z67</f>
        <v>49.107300000000002</v>
      </c>
      <c r="J67" s="30">
        <f t="shared" ref="J67:J90" si="19">X67</f>
        <v>1606.9349999999999</v>
      </c>
      <c r="K67" s="31">
        <f t="shared" ref="K67:K90" si="20">AA67</f>
        <v>49.851399999999998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1606.9349999999999</v>
      </c>
      <c r="Y67" s="29">
        <v>43.159399999999998</v>
      </c>
      <c r="Z67" s="29">
        <v>49.107300000000002</v>
      </c>
      <c r="AA67" s="29">
        <v>49.851399999999998</v>
      </c>
      <c r="AB67" s="29">
        <v>183.797</v>
      </c>
      <c r="AC67" s="29"/>
      <c r="AD67" s="15">
        <f t="shared" ref="AD67:AD90" si="23">AB67/3600</f>
        <v>5.1054722222222224E-2</v>
      </c>
      <c r="AE67" s="19">
        <f>RBJM($P67:$Q70,X67:Y70)</f>
        <v>-32.92854484679544</v>
      </c>
      <c r="AF67" s="19">
        <f>RBJM($D67:$E70,H67:I70)</f>
        <v>-43.094456558365287</v>
      </c>
      <c r="AG67" s="19">
        <f>RBJM($F67:$G70,J67:K70)</f>
        <v>-41.471994991309344</v>
      </c>
      <c r="AH67" s="19">
        <f t="shared" si="12"/>
        <v>0.871786479974197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651.66</v>
      </c>
      <c r="I68" s="13">
        <f t="shared" si="18"/>
        <v>47.842500000000001</v>
      </c>
      <c r="J68" s="13">
        <f t="shared" si="19"/>
        <v>651.66</v>
      </c>
      <c r="K68" s="14">
        <f t="shared" si="20"/>
        <v>48.503799999999998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651.66</v>
      </c>
      <c r="Y68" s="16">
        <v>41.927199999999999</v>
      </c>
      <c r="Z68" s="16">
        <v>47.842500000000001</v>
      </c>
      <c r="AA68" s="16">
        <v>48.503799999999998</v>
      </c>
      <c r="AB68" s="16">
        <v>87.233999999999995</v>
      </c>
      <c r="AC68" s="16"/>
      <c r="AD68" s="18">
        <f t="shared" si="23"/>
        <v>2.4231666666666665E-2</v>
      </c>
      <c r="AE68" s="22"/>
      <c r="AF68" s="22"/>
      <c r="AG68" s="22"/>
      <c r="AH68" s="19">
        <f t="shared" si="12"/>
        <v>0.49012270765911536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349.36500000000001</v>
      </c>
      <c r="I69" s="13">
        <f t="shared" si="18"/>
        <v>46.398499999999999</v>
      </c>
      <c r="J69" s="13">
        <f t="shared" si="19"/>
        <v>349.36500000000001</v>
      </c>
      <c r="K69" s="14">
        <f t="shared" si="20"/>
        <v>46.769599999999997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349.36500000000001</v>
      </c>
      <c r="Y69" s="16">
        <v>40.372900000000001</v>
      </c>
      <c r="Z69" s="16">
        <v>46.398499999999999</v>
      </c>
      <c r="AA69" s="16">
        <v>46.769599999999997</v>
      </c>
      <c r="AB69" s="16">
        <v>51.125</v>
      </c>
      <c r="AC69" s="16"/>
      <c r="AD69" s="18">
        <f t="shared" si="23"/>
        <v>1.4201388888888888E-2</v>
      </c>
      <c r="AE69" s="22"/>
      <c r="AF69" s="22"/>
      <c r="AG69" s="22"/>
      <c r="AH69" s="19">
        <f t="shared" si="12"/>
        <v>0.30346829387008889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199.89</v>
      </c>
      <c r="I70" s="24">
        <f t="shared" si="18"/>
        <v>44.152799999999999</v>
      </c>
      <c r="J70" s="24">
        <f t="shared" si="19"/>
        <v>199.89</v>
      </c>
      <c r="K70" s="25">
        <f t="shared" si="20"/>
        <v>44.684100000000001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199.89</v>
      </c>
      <c r="Y70" s="27">
        <v>38.391800000000003</v>
      </c>
      <c r="Z70" s="27">
        <v>44.152799999999999</v>
      </c>
      <c r="AA70" s="27">
        <v>44.684100000000001</v>
      </c>
      <c r="AB70" s="27">
        <v>34.530999999999999</v>
      </c>
      <c r="AC70" s="27"/>
      <c r="AD70" s="26">
        <f t="shared" si="23"/>
        <v>9.5919444444444446E-3</v>
      </c>
      <c r="AE70" s="23"/>
      <c r="AF70" s="23"/>
      <c r="AG70" s="23"/>
      <c r="AH70" s="19">
        <f t="shared" si="12"/>
        <v>0.21203003825394973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1747.92</v>
      </c>
      <c r="I71" s="30">
        <f t="shared" si="18"/>
        <v>48.561799999999998</v>
      </c>
      <c r="J71" s="30">
        <f t="shared" si="19"/>
        <v>1747.92</v>
      </c>
      <c r="K71" s="31">
        <f t="shared" si="20"/>
        <v>49.5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1747.92</v>
      </c>
      <c r="Y71" s="29">
        <v>43.648699999999998</v>
      </c>
      <c r="Z71" s="29">
        <v>48.561799999999998</v>
      </c>
      <c r="AA71" s="29">
        <v>49.5</v>
      </c>
      <c r="AB71" s="29">
        <v>190.23400000000001</v>
      </c>
      <c r="AC71" s="29"/>
      <c r="AD71" s="15">
        <f t="shared" si="23"/>
        <v>5.284277777777778E-2</v>
      </c>
      <c r="AE71" s="19">
        <f>RBJM($P71:$Q74,X71:Y74)</f>
        <v>-30.857841872654312</v>
      </c>
      <c r="AF71" s="19">
        <f>RBJM($D71:$E74,H71:I74)</f>
        <v>-41.99705275640703</v>
      </c>
      <c r="AG71" s="19">
        <f>RBJM($F71:$G74,J71:K74)</f>
        <v>-41.697967863551057</v>
      </c>
      <c r="AH71" s="19">
        <f t="shared" si="12"/>
        <v>0.87457474392688361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817.96500000000003</v>
      </c>
      <c r="I72" s="13">
        <f t="shared" si="18"/>
        <v>47.085900000000002</v>
      </c>
      <c r="J72" s="13">
        <f t="shared" si="19"/>
        <v>817.96500000000003</v>
      </c>
      <c r="K72" s="14">
        <f t="shared" si="20"/>
        <v>48.064500000000002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817.96500000000003</v>
      </c>
      <c r="Y72" s="16">
        <v>42.116799999999998</v>
      </c>
      <c r="Z72" s="16">
        <v>47.085900000000002</v>
      </c>
      <c r="AA72" s="16">
        <v>48.064500000000002</v>
      </c>
      <c r="AB72" s="16">
        <v>101.25</v>
      </c>
      <c r="AC72" s="16"/>
      <c r="AD72" s="18">
        <f t="shared" si="23"/>
        <v>2.8125000000000001E-2</v>
      </c>
      <c r="AE72" s="22"/>
      <c r="AF72" s="22"/>
      <c r="AG72" s="22"/>
      <c r="AH72" s="19">
        <f t="shared" si="12"/>
        <v>0.53241276318280295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444.99</v>
      </c>
      <c r="I73" s="13">
        <f t="shared" si="18"/>
        <v>45.496400000000001</v>
      </c>
      <c r="J73" s="13">
        <f t="shared" si="19"/>
        <v>444.99</v>
      </c>
      <c r="K73" s="14">
        <f t="shared" si="20"/>
        <v>46.349400000000003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444.99</v>
      </c>
      <c r="Y73" s="16">
        <v>40.137999999999998</v>
      </c>
      <c r="Z73" s="16">
        <v>45.496400000000001</v>
      </c>
      <c r="AA73" s="16">
        <v>46.349400000000003</v>
      </c>
      <c r="AB73" s="16">
        <v>62.655999999999999</v>
      </c>
      <c r="AC73" s="16"/>
      <c r="AD73" s="18">
        <f t="shared" si="23"/>
        <v>1.7404444444444445E-2</v>
      </c>
      <c r="AE73" s="22"/>
      <c r="AF73" s="22"/>
      <c r="AG73" s="22"/>
      <c r="AH73" s="19">
        <f t="shared" si="12"/>
        <v>0.3523087649850431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258.45</v>
      </c>
      <c r="I74" s="38">
        <f t="shared" si="18"/>
        <v>43.235599999999998</v>
      </c>
      <c r="J74" s="38">
        <f t="shared" si="19"/>
        <v>258.45</v>
      </c>
      <c r="K74" s="39">
        <f t="shared" si="20"/>
        <v>44.2286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258.45</v>
      </c>
      <c r="Y74" s="27">
        <v>37.909100000000002</v>
      </c>
      <c r="Z74" s="27">
        <v>43.235599999999998</v>
      </c>
      <c r="AA74" s="27">
        <v>44.2286</v>
      </c>
      <c r="AB74" s="27">
        <v>41.015999999999998</v>
      </c>
      <c r="AC74" s="27"/>
      <c r="AD74" s="26">
        <f t="shared" si="23"/>
        <v>1.1393333333333333E-2</v>
      </c>
      <c r="AE74" s="23"/>
      <c r="AF74" s="23"/>
      <c r="AG74" s="23"/>
      <c r="AH74" s="19">
        <f t="shared" si="12"/>
        <v>0.24058562680368831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2572.7624999999998</v>
      </c>
      <c r="I75" s="32">
        <f t="shared" si="18"/>
        <v>44.298699999999997</v>
      </c>
      <c r="J75" s="32">
        <f t="shared" si="19"/>
        <v>2572.7624999999998</v>
      </c>
      <c r="K75" s="33">
        <f t="shared" si="20"/>
        <v>45.141399999999997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2572.7624999999998</v>
      </c>
      <c r="Y75" s="29">
        <v>41.7117</v>
      </c>
      <c r="Z75" s="29">
        <v>44.298699999999997</v>
      </c>
      <c r="AA75" s="29">
        <v>45.141399999999997</v>
      </c>
      <c r="AB75" s="29">
        <v>250.84399999999999</v>
      </c>
      <c r="AC75" s="29"/>
      <c r="AD75" s="15">
        <f t="shared" si="23"/>
        <v>6.9678888888888887E-2</v>
      </c>
      <c r="AE75" s="19">
        <f>RBJM($P75:$Q78,X75:Y78)</f>
        <v>-29.908689125548605</v>
      </c>
      <c r="AF75" s="19">
        <f>RBJM($D75:$E78,H75:I78)</f>
        <v>-34.128816374283033</v>
      </c>
      <c r="AG75" s="19">
        <f>RBJM($F75:$G78,J75:K78)</f>
        <v>-37.025441116122146</v>
      </c>
      <c r="AH75" s="19">
        <f t="shared" si="12"/>
        <v>1.5843312616846041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1224.1875</v>
      </c>
      <c r="I76" s="34">
        <f t="shared" si="18"/>
        <v>41.756900000000002</v>
      </c>
      <c r="J76" s="34">
        <f t="shared" si="19"/>
        <v>1224.1875</v>
      </c>
      <c r="K76" s="35">
        <f t="shared" si="20"/>
        <v>42.276299999999999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1224.1875</v>
      </c>
      <c r="Y76" s="16">
        <v>38.602600000000002</v>
      </c>
      <c r="Z76" s="16">
        <v>41.756900000000002</v>
      </c>
      <c r="AA76" s="16">
        <v>42.276299999999999</v>
      </c>
      <c r="AB76" s="16">
        <v>157.71899999999999</v>
      </c>
      <c r="AC76" s="16"/>
      <c r="AD76" s="18">
        <f t="shared" si="23"/>
        <v>4.3810833333333334E-2</v>
      </c>
      <c r="AE76" s="22"/>
      <c r="AF76" s="22"/>
      <c r="AG76" s="22"/>
      <c r="AH76" s="19">
        <f t="shared" si="12"/>
        <v>1.2477176716295111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619.73749999999995</v>
      </c>
      <c r="I77" s="34">
        <f t="shared" si="18"/>
        <v>39.612900000000003</v>
      </c>
      <c r="J77" s="34">
        <f t="shared" si="19"/>
        <v>619.73749999999995</v>
      </c>
      <c r="K77" s="35">
        <f t="shared" si="20"/>
        <v>39.954999999999998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619.73749999999995</v>
      </c>
      <c r="Y77" s="16">
        <v>35.692</v>
      </c>
      <c r="Z77" s="16">
        <v>39.612900000000003</v>
      </c>
      <c r="AA77" s="16">
        <v>39.954999999999998</v>
      </c>
      <c r="AB77" s="16">
        <v>100.35899999999999</v>
      </c>
      <c r="AC77" s="16"/>
      <c r="AD77" s="18">
        <f t="shared" si="23"/>
        <v>2.78775E-2</v>
      </c>
      <c r="AE77" s="22"/>
      <c r="AF77" s="22"/>
      <c r="AG77" s="22"/>
      <c r="AH77" s="19">
        <f t="shared" si="12"/>
        <v>0.92844191166947287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327.55</v>
      </c>
      <c r="I78" s="36">
        <f t="shared" si="18"/>
        <v>37.573500000000003</v>
      </c>
      <c r="J78" s="36">
        <f t="shared" si="19"/>
        <v>327.55</v>
      </c>
      <c r="K78" s="37">
        <f t="shared" si="20"/>
        <v>37.616100000000003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327.55</v>
      </c>
      <c r="Y78" s="27">
        <v>33.021700000000003</v>
      </c>
      <c r="Z78" s="27">
        <v>37.573500000000003</v>
      </c>
      <c r="AA78" s="27">
        <v>37.616100000000003</v>
      </c>
      <c r="AB78" s="27">
        <v>62.219000000000001</v>
      </c>
      <c r="AC78" s="27"/>
      <c r="AD78" s="26">
        <f t="shared" si="23"/>
        <v>1.7283055555555555E-2</v>
      </c>
      <c r="AE78" s="23"/>
      <c r="AF78" s="23"/>
      <c r="AG78" s="23"/>
      <c r="AH78" s="19">
        <f t="shared" si="12"/>
        <v>0.64663943711740934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4231.0874999999996</v>
      </c>
      <c r="I79" s="30">
        <f t="shared" si="18"/>
        <v>46.286700000000003</v>
      </c>
      <c r="J79" s="30">
        <f t="shared" si="19"/>
        <v>4231.0874999999996</v>
      </c>
      <c r="K79" s="31">
        <f t="shared" si="20"/>
        <v>46.230600000000003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4231.0874999999996</v>
      </c>
      <c r="Y79" s="29">
        <v>43.224699999999999</v>
      </c>
      <c r="Z79" s="29">
        <v>46.286700000000003</v>
      </c>
      <c r="AA79" s="29">
        <v>46.230600000000003</v>
      </c>
      <c r="AB79" s="29">
        <v>523.71900000000005</v>
      </c>
      <c r="AC79" s="29"/>
      <c r="AD79" s="15">
        <f t="shared" si="23"/>
        <v>0.14547750000000001</v>
      </c>
      <c r="AE79" s="19">
        <f>RBJM($P79:$Q82,X79:Y82)</f>
        <v>-6.2305143972453125</v>
      </c>
      <c r="AF79" s="19">
        <f>RBJM($D79:$E82,H79:I82)</f>
        <v>-23.777921098277112</v>
      </c>
      <c r="AG79" s="19">
        <f>RBJM($F79:$G82,J79:K82)</f>
        <v>-11.591252158953335</v>
      </c>
      <c r="AH79" s="19">
        <f t="shared" si="12"/>
        <v>1.4243570635973979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2192.6925000000001</v>
      </c>
      <c r="I80" s="13">
        <f t="shared" si="18"/>
        <v>43.603999999999999</v>
      </c>
      <c r="J80" s="13">
        <f t="shared" si="19"/>
        <v>2192.6925000000001</v>
      </c>
      <c r="K80" s="14">
        <f t="shared" si="20"/>
        <v>43.108800000000002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2192.6925000000001</v>
      </c>
      <c r="Y80" s="16">
        <v>39.045900000000003</v>
      </c>
      <c r="Z80" s="16">
        <v>43.603999999999999</v>
      </c>
      <c r="AA80" s="16">
        <v>43.108800000000002</v>
      </c>
      <c r="AB80" s="16">
        <v>345.34399999999999</v>
      </c>
      <c r="AC80" s="16"/>
      <c r="AD80" s="18">
        <f t="shared" si="23"/>
        <v>9.5928888888888883E-2</v>
      </c>
      <c r="AE80" s="22"/>
      <c r="AF80" s="22"/>
      <c r="AG80" s="22"/>
      <c r="AH80" s="19">
        <f t="shared" si="12"/>
        <v>1.1668879855923069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1176.0450000000001</v>
      </c>
      <c r="I81" s="13">
        <f t="shared" si="18"/>
        <v>41.408299999999997</v>
      </c>
      <c r="J81" s="13">
        <f t="shared" si="19"/>
        <v>1176.0450000000001</v>
      </c>
      <c r="K81" s="14">
        <f t="shared" si="20"/>
        <v>40.5779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1176.0450000000001</v>
      </c>
      <c r="Y81" s="16">
        <v>35.385800000000003</v>
      </c>
      <c r="Z81" s="16">
        <v>41.408299999999997</v>
      </c>
      <c r="AA81" s="16">
        <v>40.5779</v>
      </c>
      <c r="AB81" s="16">
        <v>222.453</v>
      </c>
      <c r="AC81" s="16"/>
      <c r="AD81" s="18">
        <f t="shared" si="23"/>
        <v>6.17925E-2</v>
      </c>
      <c r="AE81" s="22"/>
      <c r="AF81" s="22"/>
      <c r="AG81" s="22"/>
      <c r="AH81" s="19">
        <f t="shared" si="12"/>
        <v>0.91157680786457462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597.33000000000004</v>
      </c>
      <c r="I82" s="24">
        <f t="shared" si="18"/>
        <v>39.376300000000001</v>
      </c>
      <c r="J82" s="24">
        <f t="shared" si="19"/>
        <v>597.33000000000004</v>
      </c>
      <c r="K82" s="25">
        <f t="shared" si="20"/>
        <v>37.976199999999999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597.33000000000004</v>
      </c>
      <c r="Y82" s="27">
        <v>31.9421</v>
      </c>
      <c r="Z82" s="27">
        <v>39.376300000000001</v>
      </c>
      <c r="AA82" s="27">
        <v>37.976199999999999</v>
      </c>
      <c r="AB82" s="27">
        <v>143.125</v>
      </c>
      <c r="AC82" s="27"/>
      <c r="AD82" s="26">
        <f t="shared" si="23"/>
        <v>3.9756944444444442E-2</v>
      </c>
      <c r="AE82" s="23"/>
      <c r="AF82" s="23"/>
      <c r="AG82" s="23"/>
      <c r="AH82" s="19">
        <f t="shared" si="12"/>
        <v>0.70046689636271098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944.48249999999996</v>
      </c>
      <c r="I83" s="32">
        <f t="shared" si="18"/>
        <v>48.231000000000002</v>
      </c>
      <c r="J83" s="32">
        <f t="shared" si="19"/>
        <v>944.48249999999996</v>
      </c>
      <c r="K83" s="33">
        <f t="shared" si="20"/>
        <v>48.574300000000001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944.48249999999996</v>
      </c>
      <c r="Y83" s="29">
        <v>50.155999999999999</v>
      </c>
      <c r="Z83" s="29">
        <v>48.231000000000002</v>
      </c>
      <c r="AA83" s="29">
        <v>48.574300000000001</v>
      </c>
      <c r="AB83" s="29">
        <v>163.672</v>
      </c>
      <c r="AC83" s="29"/>
      <c r="AD83" s="15">
        <f t="shared" si="23"/>
        <v>4.5464444444444446E-2</v>
      </c>
      <c r="AE83" s="19">
        <f>RBJM($P83:$Q86,X83:Y86)</f>
        <v>-46.49952559516349</v>
      </c>
      <c r="AF83" s="19">
        <f>RBJM($D83:$E86,H83:I86)</f>
        <v>-49.933563914362665</v>
      </c>
      <c r="AG83" s="19">
        <f>RBJM($F83:$G86,J83:K86)</f>
        <v>-52.232359182775504</v>
      </c>
      <c r="AH83" s="19">
        <f t="shared" si="12"/>
        <v>0.93485189458412821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683.26499999999999</v>
      </c>
      <c r="I84" s="34">
        <f t="shared" si="18"/>
        <v>44.392400000000002</v>
      </c>
      <c r="J84" s="34">
        <f t="shared" si="19"/>
        <v>683.26499999999999</v>
      </c>
      <c r="K84" s="35">
        <f t="shared" si="20"/>
        <v>44.850200000000001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683.26499999999999</v>
      </c>
      <c r="Y84" s="16">
        <v>45.713500000000003</v>
      </c>
      <c r="Z84" s="16">
        <v>44.392400000000002</v>
      </c>
      <c r="AA84" s="16">
        <v>44.850200000000001</v>
      </c>
      <c r="AB84" s="16">
        <v>144.25</v>
      </c>
      <c r="AC84" s="16"/>
      <c r="AD84" s="18">
        <f t="shared" si="23"/>
        <v>4.0069444444444442E-2</v>
      </c>
      <c r="AE84" s="22"/>
      <c r="AF84" s="22"/>
      <c r="AG84" s="22"/>
      <c r="AH84" s="19">
        <f t="shared" si="12"/>
        <v>0.8353215046789586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514.54499999999996</v>
      </c>
      <c r="I85" s="34">
        <f t="shared" si="18"/>
        <v>42.300400000000003</v>
      </c>
      <c r="J85" s="34">
        <f t="shared" si="19"/>
        <v>514.54499999999996</v>
      </c>
      <c r="K85" s="35">
        <f t="shared" si="20"/>
        <v>42.536000000000001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514.54499999999996</v>
      </c>
      <c r="Y85" s="16">
        <v>41.118000000000002</v>
      </c>
      <c r="Z85" s="16">
        <v>42.300400000000003</v>
      </c>
      <c r="AA85" s="16">
        <v>42.536000000000001</v>
      </c>
      <c r="AB85" s="16">
        <v>122.797</v>
      </c>
      <c r="AC85" s="16"/>
      <c r="AD85" s="18">
        <f t="shared" si="23"/>
        <v>3.4110277777777774E-2</v>
      </c>
      <c r="AE85" s="22"/>
      <c r="AF85" s="22"/>
      <c r="AG85" s="22"/>
      <c r="AH85" s="19">
        <f t="shared" si="12"/>
        <v>0.7175865595325055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380.82749999999999</v>
      </c>
      <c r="I86" s="36">
        <f t="shared" si="18"/>
        <v>38.302100000000003</v>
      </c>
      <c r="J86" s="36">
        <f t="shared" si="19"/>
        <v>380.82749999999999</v>
      </c>
      <c r="K86" s="37">
        <f t="shared" si="20"/>
        <v>39.338700000000003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380.82749999999999</v>
      </c>
      <c r="Y86" s="27">
        <v>36.289499999999997</v>
      </c>
      <c r="Z86" s="27">
        <v>38.302100000000003</v>
      </c>
      <c r="AA86" s="27">
        <v>39.338700000000003</v>
      </c>
      <c r="AB86" s="27">
        <v>106.547</v>
      </c>
      <c r="AC86" s="27"/>
      <c r="AD86" s="26">
        <f t="shared" si="23"/>
        <v>2.9596388888888887E-2</v>
      </c>
      <c r="AE86" s="23"/>
      <c r="AF86" s="23"/>
      <c r="AG86" s="23"/>
      <c r="AH86" s="19">
        <f t="shared" si="12"/>
        <v>0.63215008276623141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467.245</v>
      </c>
      <c r="I87" s="30">
        <f t="shared" si="18"/>
        <v>53.367899999999999</v>
      </c>
      <c r="J87" s="30">
        <f t="shared" si="19"/>
        <v>467.245</v>
      </c>
      <c r="K87" s="31">
        <f t="shared" si="20"/>
        <v>54.5261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467.245</v>
      </c>
      <c r="Y87" s="29">
        <v>50.757899999999999</v>
      </c>
      <c r="Z87" s="29">
        <v>53.367899999999999</v>
      </c>
      <c r="AA87" s="29">
        <v>54.5261</v>
      </c>
      <c r="AB87" s="29">
        <v>193.23400000000001</v>
      </c>
      <c r="AC87" s="29"/>
      <c r="AD87" s="15">
        <f t="shared" si="23"/>
        <v>5.3676111111111112E-2</v>
      </c>
      <c r="AE87" s="19">
        <f>RBJM($P87:$Q90,X87:Y90)</f>
        <v>-37.902146075575629</v>
      </c>
      <c r="AF87" s="19">
        <f>RBJM($D87:$E90,H87:I90)</f>
        <v>-45.214807368567769</v>
      </c>
      <c r="AG87" s="19">
        <f>RBJM($F87:$G90,J87:K90)</f>
        <v>-48.145787537730953</v>
      </c>
      <c r="AH87" s="19">
        <f t="shared" si="12"/>
        <v>0.79316162134427914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269.27</v>
      </c>
      <c r="I88" s="13">
        <f t="shared" si="18"/>
        <v>50.453299999999999</v>
      </c>
      <c r="J88" s="13">
        <f t="shared" si="19"/>
        <v>269.27</v>
      </c>
      <c r="K88" s="14">
        <f t="shared" si="20"/>
        <v>50.940199999999997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269.27</v>
      </c>
      <c r="Y88" s="16">
        <v>46.8245</v>
      </c>
      <c r="Z88" s="16">
        <v>50.453299999999999</v>
      </c>
      <c r="AA88" s="16">
        <v>50.940199999999997</v>
      </c>
      <c r="AB88" s="16">
        <v>128.60900000000001</v>
      </c>
      <c r="AC88" s="16"/>
      <c r="AD88" s="18">
        <f t="shared" si="23"/>
        <v>3.5724722222222227E-2</v>
      </c>
      <c r="AE88" s="22"/>
      <c r="AF88" s="22"/>
      <c r="AG88" s="22"/>
      <c r="AH88" s="19">
        <f t="shared" si="12"/>
        <v>0.54233135560700185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184.435</v>
      </c>
      <c r="I89" s="13">
        <f t="shared" si="18"/>
        <v>46.905200000000001</v>
      </c>
      <c r="J89" s="13">
        <f t="shared" si="19"/>
        <v>184.435</v>
      </c>
      <c r="K89" s="14">
        <f t="shared" si="20"/>
        <v>49.543500000000002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184.435</v>
      </c>
      <c r="Y89" s="16">
        <v>43.466799999999999</v>
      </c>
      <c r="Z89" s="16">
        <v>46.905200000000001</v>
      </c>
      <c r="AA89" s="16">
        <v>49.543500000000002</v>
      </c>
      <c r="AB89" s="16">
        <v>95.171999999999997</v>
      </c>
      <c r="AC89" s="16"/>
      <c r="AD89" s="18">
        <f t="shared" si="23"/>
        <v>2.6436666666666667E-2</v>
      </c>
      <c r="AE89" s="22"/>
      <c r="AF89" s="22"/>
      <c r="AG89" s="22"/>
      <c r="AH89" s="19">
        <f t="shared" si="12"/>
        <v>0.42204878048780486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131.04499999999999</v>
      </c>
      <c r="I90" s="38">
        <f t="shared" si="18"/>
        <v>45.454799999999999</v>
      </c>
      <c r="J90" s="38">
        <f t="shared" si="19"/>
        <v>131.04499999999999</v>
      </c>
      <c r="K90" s="39">
        <f t="shared" si="20"/>
        <v>47.209600000000002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131.04499999999999</v>
      </c>
      <c r="Y90" s="27">
        <v>39.770299999999999</v>
      </c>
      <c r="Z90" s="27">
        <v>45.454799999999999</v>
      </c>
      <c r="AA90" s="27">
        <v>47.209600000000002</v>
      </c>
      <c r="AB90" s="27">
        <v>71.641000000000005</v>
      </c>
      <c r="AC90" s="27"/>
      <c r="AD90" s="26">
        <f t="shared" si="23"/>
        <v>1.9900277777777781E-2</v>
      </c>
      <c r="AE90" s="23"/>
      <c r="AF90" s="23"/>
      <c r="AG90" s="23"/>
      <c r="AH90" s="76">
        <f t="shared" ref="AH90:AH106" si="24">AB90/T90</f>
        <v>0.33155156934070107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-24.925905116618974</v>
      </c>
      <c r="AF93" s="44">
        <f>AVERAGE(AF31,AF35,AF39,AF43)</f>
        <v>-27.251209736082664</v>
      </c>
      <c r="AG93" s="44">
        <f>AVERAGE(AG31,AG35,AG39,AG43)</f>
        <v>-28.905913041063066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-20.333836883580016</v>
      </c>
      <c r="AF94" s="44">
        <f>AVERAGE(AF47,AF55,AF51,AF59)</f>
        <v>-24.977981471116451</v>
      </c>
      <c r="AG94" s="44">
        <f>AVERAGE(AG47,AG55,AG51,AG59)</f>
        <v>-23.349410863374363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-30.929285155446724</v>
      </c>
      <c r="AF95" s="44">
        <f>AVERAGE(AF63,AF67,AF71)</f>
        <v>-42.07089942342791</v>
      </c>
      <c r="AG95" s="44">
        <f>AVERAGE(AG63,AG67,AG71)</f>
        <v>-40.972887788252578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-30.13521879838326</v>
      </c>
      <c r="AF96" s="44">
        <f t="shared" ref="AF96:AG96" si="25">AVERAGE(AF75,AF79,AF83,AF87)</f>
        <v>-38.263777188872645</v>
      </c>
      <c r="AG96" s="44">
        <f t="shared" si="25"/>
        <v>-37.248709998895478</v>
      </c>
    </row>
    <row r="97" spans="2:33">
      <c r="B97" s="69" t="s">
        <v>57</v>
      </c>
      <c r="C97" s="69"/>
      <c r="D97" s="70"/>
      <c r="E97" s="71"/>
      <c r="F97" s="72"/>
      <c r="G97" s="71"/>
      <c r="H97" s="71"/>
      <c r="I97" s="71"/>
      <c r="J97" s="71"/>
      <c r="K97" s="71"/>
      <c r="L97" s="71"/>
      <c r="M97" s="71"/>
      <c r="N97" s="71"/>
      <c r="O97" s="71"/>
      <c r="P97" s="69"/>
      <c r="Q97" s="69"/>
      <c r="R97" s="69"/>
      <c r="S97" s="69"/>
      <c r="T97" s="69"/>
      <c r="U97" s="69"/>
      <c r="V97" s="69"/>
      <c r="W97" s="73"/>
      <c r="X97" s="69"/>
      <c r="Y97" s="69"/>
      <c r="Z97" s="69"/>
      <c r="AA97" s="69"/>
      <c r="AB97" s="69"/>
      <c r="AC97" s="69"/>
      <c r="AD97" s="69"/>
      <c r="AE97" s="74" t="e">
        <f>AVERAGE(AE3,AE7,AE11,AE15,AE19,AE23,AE27,AE31,AE35,AE39,AE43,AE47,AE55,AE51,AE59,AE63,AE67,AE71)</f>
        <v>#VALUE!</v>
      </c>
      <c r="AF97" s="74" t="e">
        <f>AVERAGE(AF3,AF7,AF11,AF15,AF19,AF23,AF27,AF31,AF35,AF39,AF43,AF47,AF55,AF51,AF59,AF63,AF67,AF71)</f>
        <v>#VALUE!</v>
      </c>
      <c r="AG97" s="74" t="e">
        <f>AVERAGE(AG3,AG7,AG11,AG15,AG19,AG23,AG27,AG31,AG35,AG39,AG43,AG47,AG55,AG51,AG59,AG63,AG67,AG71)</f>
        <v>#VALUE!</v>
      </c>
    </row>
    <row r="98" spans="2:33">
      <c r="B98" s="69" t="s">
        <v>58</v>
      </c>
      <c r="C98" s="69"/>
      <c r="D98" s="70"/>
      <c r="E98" s="71"/>
      <c r="F98" s="72"/>
      <c r="G98" s="71"/>
      <c r="H98" s="71"/>
      <c r="I98" s="71"/>
      <c r="J98" s="71"/>
      <c r="K98" s="71"/>
      <c r="L98" s="71"/>
      <c r="M98" s="71"/>
      <c r="N98" s="71"/>
      <c r="O98" s="71"/>
      <c r="P98" s="69"/>
      <c r="Q98" s="69"/>
      <c r="R98" s="69"/>
      <c r="S98" s="69"/>
      <c r="T98" s="74"/>
      <c r="U98" s="74" t="e">
        <f>GEOMEAN(U3:U90)</f>
        <v>#NUM!</v>
      </c>
      <c r="V98" s="74" t="e">
        <f>GEOMEAN(V3:V90)</f>
        <v>#NUM!</v>
      </c>
      <c r="W98" s="74"/>
      <c r="X98" s="74"/>
      <c r="Y98" s="74"/>
      <c r="Z98" s="74"/>
      <c r="AA98" s="74"/>
      <c r="AB98" s="74"/>
      <c r="AC98" s="74" t="e">
        <f>GEOMEAN(AC3:AC74)</f>
        <v>#NUM!</v>
      </c>
      <c r="AD98" s="74" t="e">
        <f>GEOMEAN(AD3:AD74)</f>
        <v>#NUM!</v>
      </c>
      <c r="AE98" s="69"/>
      <c r="AF98" s="69"/>
      <c r="AG98" s="69"/>
    </row>
    <row r="99" spans="2:33">
      <c r="B99" s="69" t="s">
        <v>59</v>
      </c>
      <c r="C99" s="69"/>
      <c r="D99" s="70"/>
      <c r="E99" s="71"/>
      <c r="F99" s="72"/>
      <c r="G99" s="71"/>
      <c r="H99" s="71"/>
      <c r="I99" s="71"/>
      <c r="J99" s="71"/>
      <c r="K99" s="71"/>
      <c r="L99" s="71"/>
      <c r="M99" s="71"/>
      <c r="N99" s="71"/>
      <c r="O99" s="71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75"/>
      <c r="AC99" s="75" t="e">
        <f>AC98/U98</f>
        <v>#NUM!</v>
      </c>
      <c r="AD99" s="75" t="e">
        <f>AD98/V98</f>
        <v>#NUM!</v>
      </c>
      <c r="AE99" s="69"/>
      <c r="AF99" s="69"/>
      <c r="AG99" s="69"/>
    </row>
    <row r="100" spans="2:33">
      <c r="B100" s="69" t="s">
        <v>60</v>
      </c>
      <c r="C100" s="69"/>
      <c r="D100" s="70"/>
      <c r="E100" s="71"/>
      <c r="F100" s="72"/>
      <c r="G100" s="71"/>
      <c r="H100" s="71"/>
      <c r="I100" s="71"/>
      <c r="J100" s="71"/>
      <c r="K100" s="71"/>
      <c r="L100" s="71"/>
      <c r="M100" s="71"/>
      <c r="N100" s="71"/>
      <c r="O100" s="71"/>
      <c r="P100" s="69"/>
      <c r="Q100" s="69"/>
      <c r="R100" s="69"/>
      <c r="S100" s="69"/>
      <c r="T100" s="73"/>
      <c r="U100" s="73">
        <f>SUM(U3:U74)/3600</f>
        <v>0</v>
      </c>
      <c r="V100" s="73">
        <f>SUM(V3:V74)</f>
        <v>1.3925130555555554</v>
      </c>
      <c r="W100" s="69"/>
      <c r="X100" s="69"/>
      <c r="Y100" s="69"/>
      <c r="Z100" s="69"/>
      <c r="AA100" s="69"/>
      <c r="AB100" s="73"/>
      <c r="AC100" s="73">
        <f>SUM(AC3:AC74)/3600</f>
        <v>0</v>
      </c>
      <c r="AD100" s="73">
        <f>SUM(AD3:AD74)</f>
        <v>1.4776780555555558</v>
      </c>
      <c r="AE100" s="69"/>
      <c r="AF100" s="69"/>
      <c r="AG100" s="69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-26.291179910711275</v>
      </c>
      <c r="AF101" s="51">
        <f>AVERAGE(AF31,AF35,AF39,AF43,AF47,AF51,AF59,AF55,AF63,AF67,AF71,AF75,AF79,AF83,AF87)</f>
        <v>-32.545638123638049</v>
      </c>
      <c r="AG101" s="51">
        <f>AVERAGE(AG31,AG35,AG39,AG43,AG47,AG51,AG59,AG55,AG63,AG67,AG71,AG75,AG79,AG83,AG87)</f>
        <v>-32.062319931872622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2.6781540830457137E-2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0.91262206019251269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2.2642625000000001</v>
      </c>
    </row>
  </sheetData>
  <mergeCells count="3">
    <mergeCell ref="L1:O1"/>
    <mergeCell ref="P1:W1"/>
    <mergeCell ref="X1:AE1"/>
  </mergeCells>
  <phoneticPr fontId="2" type="noConversion"/>
  <conditionalFormatting sqref="AH3:AH6">
    <cfRule type="cellIs" dxfId="95" priority="19" stopIfTrue="1" operator="between">
      <formula>-1</formula>
      <formula>1</formula>
    </cfRule>
    <cfRule type="cellIs" dxfId="94" priority="20" stopIfTrue="1" operator="lessThan">
      <formula>-3</formula>
    </cfRule>
    <cfRule type="cellIs" dxfId="93" priority="21" stopIfTrue="1" operator="greaterThan">
      <formula>3</formula>
    </cfRule>
  </conditionalFormatting>
  <conditionalFormatting sqref="AH7:AH10">
    <cfRule type="cellIs" dxfId="92" priority="16" stopIfTrue="1" operator="between">
      <formula>-1</formula>
      <formula>1</formula>
    </cfRule>
    <cfRule type="cellIs" dxfId="91" priority="17" stopIfTrue="1" operator="lessThan">
      <formula>-3</formula>
    </cfRule>
    <cfRule type="cellIs" dxfId="90" priority="18" stopIfTrue="1" operator="greaterThan">
      <formula>3</formula>
    </cfRule>
  </conditionalFormatting>
  <conditionalFormatting sqref="AH11:AH74">
    <cfRule type="cellIs" dxfId="89" priority="13" stopIfTrue="1" operator="between">
      <formula>-1</formula>
      <formula>1</formula>
    </cfRule>
    <cfRule type="cellIs" dxfId="88" priority="14" stopIfTrue="1" operator="lessThan">
      <formula>-3</formula>
    </cfRule>
    <cfRule type="cellIs" dxfId="87" priority="15" stopIfTrue="1" operator="greaterThan">
      <formula>3</formula>
    </cfRule>
  </conditionalFormatting>
  <conditionalFormatting sqref="AE75:AG90">
    <cfRule type="cellIs" dxfId="86" priority="10" stopIfTrue="1" operator="between">
      <formula>-1</formula>
      <formula>1</formula>
    </cfRule>
    <cfRule type="cellIs" dxfId="85" priority="11" stopIfTrue="1" operator="lessThan">
      <formula>-3</formula>
    </cfRule>
    <cfRule type="cellIs" dxfId="84" priority="12" stopIfTrue="1" operator="greaterThan">
      <formula>3</formula>
    </cfRule>
  </conditionalFormatting>
  <conditionalFormatting sqref="AH75:AH90">
    <cfRule type="cellIs" dxfId="83" priority="7" stopIfTrue="1" operator="between">
      <formula>-1</formula>
      <formula>1</formula>
    </cfRule>
    <cfRule type="cellIs" dxfId="82" priority="8" stopIfTrue="1" operator="lessThan">
      <formula>-3</formula>
    </cfRule>
    <cfRule type="cellIs" dxfId="81" priority="9" stopIfTrue="1" operator="greaterThan">
      <formula>3</formula>
    </cfRule>
  </conditionalFormatting>
  <conditionalFormatting sqref="AE101:AG101">
    <cfRule type="cellIs" dxfId="80" priority="4" stopIfTrue="1" operator="between">
      <formula>-1</formula>
      <formula>1</formula>
    </cfRule>
    <cfRule type="cellIs" dxfId="79" priority="5" stopIfTrue="1" operator="lessThan">
      <formula>-3</formula>
    </cfRule>
    <cfRule type="cellIs" dxfId="78" priority="6" stopIfTrue="1" operator="greaterThan">
      <formula>3</formula>
    </cfRule>
  </conditionalFormatting>
  <conditionalFormatting sqref="AE3:AG74 AE91:AG95 AE97:AG97">
    <cfRule type="cellIs" dxfId="77" priority="22" stopIfTrue="1" operator="between">
      <formula>-1</formula>
      <formula>1</formula>
    </cfRule>
    <cfRule type="cellIs" dxfId="76" priority="23" stopIfTrue="1" operator="lessThan">
      <formula>-3</formula>
    </cfRule>
    <cfRule type="cellIs" dxfId="75" priority="24" stopIfTrue="1" operator="greaterThan">
      <formula>3</formula>
    </cfRule>
  </conditionalFormatting>
  <conditionalFormatting sqref="AE96:AG96">
    <cfRule type="cellIs" dxfId="74" priority="1" stopIfTrue="1" operator="between">
      <formula>-1</formula>
      <formula>1</formula>
    </cfRule>
    <cfRule type="cellIs" dxfId="73" priority="2" stopIfTrue="1" operator="lessThan">
      <formula>-3</formula>
    </cfRule>
    <cfRule type="cellIs" dxfId="72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02380-36AF-44B1-8152-CE6D033D552C}">
  <sheetPr codeName="Sheet4"/>
  <dimension ref="A1:AH104"/>
  <sheetViews>
    <sheetView topLeftCell="A58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62" t="s">
        <v>2</v>
      </c>
      <c r="M1" s="63"/>
      <c r="N1" s="63"/>
      <c r="O1" s="64"/>
      <c r="P1" s="65" t="s">
        <v>89</v>
      </c>
      <c r="Q1" s="66"/>
      <c r="R1" s="66"/>
      <c r="S1" s="66"/>
      <c r="T1" s="66"/>
      <c r="U1" s="66"/>
      <c r="V1" s="66"/>
      <c r="W1" s="66"/>
      <c r="X1" s="67" t="s">
        <v>88</v>
      </c>
      <c r="Y1" s="68"/>
      <c r="Z1" s="68"/>
      <c r="AA1" s="68"/>
      <c r="AB1" s="68"/>
      <c r="AC1" s="68"/>
      <c r="AD1" s="68"/>
      <c r="AE1" s="68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2772.4749999999999</v>
      </c>
      <c r="I31" s="32">
        <f t="shared" si="5"/>
        <v>44.128599999999999</v>
      </c>
      <c r="J31" s="32">
        <f t="shared" si="6"/>
        <v>2772.4749999999999</v>
      </c>
      <c r="K31" s="33">
        <f t="shared" si="7"/>
        <v>44.882399999999997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2772.4749999999999</v>
      </c>
      <c r="Y31" s="29">
        <v>41.496099999999998</v>
      </c>
      <c r="Z31" s="29">
        <v>44.128599999999999</v>
      </c>
      <c r="AA31" s="29">
        <v>44.882399999999997</v>
      </c>
      <c r="AB31" s="29">
        <v>86.578000000000003</v>
      </c>
      <c r="AC31" s="29"/>
      <c r="AD31" s="15">
        <f t="shared" si="10"/>
        <v>2.4049444444444446E-2</v>
      </c>
      <c r="AE31" s="19">
        <f>RBJM($P31:$Q34,X31:Y34)</f>
        <v>-27.063585820467363</v>
      </c>
      <c r="AF31" s="19">
        <f>RBJM($D31:$E34,H31:I34)</f>
        <v>-30.261380276801642</v>
      </c>
      <c r="AG31" s="19">
        <f>RBJM($F31:$G34,J31:K34)</f>
        <v>-32.082449794830517</v>
      </c>
      <c r="AH31" s="19">
        <f t="shared" si="12"/>
        <v>0.52501425054273343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1294.4375</v>
      </c>
      <c r="I32" s="34">
        <f t="shared" si="5"/>
        <v>41.766800000000003</v>
      </c>
      <c r="J32" s="34">
        <f t="shared" si="6"/>
        <v>1294.4375</v>
      </c>
      <c r="K32" s="35">
        <f t="shared" si="7"/>
        <v>42.0456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1294.4375</v>
      </c>
      <c r="Y32" s="16">
        <v>38.406199999999998</v>
      </c>
      <c r="Z32" s="16">
        <v>41.766800000000003</v>
      </c>
      <c r="AA32" s="16">
        <v>42.0456</v>
      </c>
      <c r="AB32" s="16">
        <v>54.859000000000002</v>
      </c>
      <c r="AC32" s="16"/>
      <c r="AD32" s="18">
        <f t="shared" si="10"/>
        <v>1.5238611111111111E-2</v>
      </c>
      <c r="AE32" s="22"/>
      <c r="AF32" s="22"/>
      <c r="AG32" s="22"/>
      <c r="AH32" s="19">
        <f t="shared" si="12"/>
        <v>0.42464470384246222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637.42499999999995</v>
      </c>
      <c r="I33" s="34">
        <f t="shared" si="5"/>
        <v>39.709499999999998</v>
      </c>
      <c r="J33" s="34">
        <f t="shared" si="6"/>
        <v>637.42499999999995</v>
      </c>
      <c r="K33" s="35">
        <f t="shared" si="7"/>
        <v>39.773299999999999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637.42499999999995</v>
      </c>
      <c r="Y33" s="16">
        <v>35.4786</v>
      </c>
      <c r="Z33" s="16">
        <v>39.709499999999998</v>
      </c>
      <c r="AA33" s="16">
        <v>39.773299999999999</v>
      </c>
      <c r="AB33" s="16">
        <v>35.811999999999998</v>
      </c>
      <c r="AC33" s="16"/>
      <c r="AD33" s="18">
        <f t="shared" si="10"/>
        <v>9.9477777777777776E-3</v>
      </c>
      <c r="AE33" s="22"/>
      <c r="AF33" s="22"/>
      <c r="AG33" s="22"/>
      <c r="AH33" s="19">
        <f t="shared" si="12"/>
        <v>0.31983852673507845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330.96249999999998</v>
      </c>
      <c r="I34" s="36">
        <f t="shared" si="5"/>
        <v>37.896099999999997</v>
      </c>
      <c r="J34" s="36">
        <f t="shared" si="6"/>
        <v>330.96249999999998</v>
      </c>
      <c r="K34" s="37">
        <f t="shared" si="7"/>
        <v>37.705399999999997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330.96249999999998</v>
      </c>
      <c r="Y34" s="27">
        <v>32.905000000000001</v>
      </c>
      <c r="Z34" s="27">
        <v>37.896099999999997</v>
      </c>
      <c r="AA34" s="27">
        <v>37.705399999999997</v>
      </c>
      <c r="AB34" s="27">
        <v>24.327999999999999</v>
      </c>
      <c r="AC34" s="27"/>
      <c r="AD34" s="26">
        <f t="shared" si="10"/>
        <v>6.7577777777777775E-3</v>
      </c>
      <c r="AE34" s="23"/>
      <c r="AF34" s="23"/>
      <c r="AG34" s="23"/>
      <c r="AH34" s="19">
        <f t="shared" si="12"/>
        <v>0.24419573400250941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3537.915</v>
      </c>
      <c r="I35" s="32">
        <f t="shared" si="5"/>
        <v>43.8185</v>
      </c>
      <c r="J35" s="32">
        <f t="shared" si="6"/>
        <v>3537.915</v>
      </c>
      <c r="K35" s="33">
        <f t="shared" si="7"/>
        <v>45.323900000000002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3537.915</v>
      </c>
      <c r="Y35" s="29">
        <v>39.997700000000002</v>
      </c>
      <c r="Z35" s="29">
        <v>43.8185</v>
      </c>
      <c r="AA35" s="29">
        <v>45.323900000000002</v>
      </c>
      <c r="AB35" s="29">
        <v>75.108999999999995</v>
      </c>
      <c r="AC35" s="29"/>
      <c r="AD35" s="15">
        <f t="shared" si="10"/>
        <v>2.0863611111111111E-2</v>
      </c>
      <c r="AE35" s="19">
        <f>RBJM($P35:$Q38,X35:Y38)</f>
        <v>-21.518779379171093</v>
      </c>
      <c r="AF35" s="19">
        <f>RBJM($D35:$E38,H35:I38)</f>
        <v>-31.200897625959524</v>
      </c>
      <c r="AG35" s="19">
        <f>RBJM($F35:$G38,J35:K38)</f>
        <v>-28.935960999197029</v>
      </c>
      <c r="AH35" s="19">
        <f t="shared" si="12"/>
        <v>0.51466376132330172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1739.07</v>
      </c>
      <c r="I36" s="34">
        <f t="shared" si="5"/>
        <v>41.892200000000003</v>
      </c>
      <c r="J36" s="34">
        <f t="shared" si="6"/>
        <v>1739.07</v>
      </c>
      <c r="K36" s="35">
        <f t="shared" si="7"/>
        <v>42.856900000000003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1739.07</v>
      </c>
      <c r="Y36" s="16">
        <v>37.385899999999999</v>
      </c>
      <c r="Z36" s="16">
        <v>41.892200000000003</v>
      </c>
      <c r="AA36" s="16">
        <v>42.856900000000003</v>
      </c>
      <c r="AB36" s="16">
        <v>47.561999999999998</v>
      </c>
      <c r="AC36" s="16"/>
      <c r="AD36" s="18">
        <f t="shared" si="10"/>
        <v>1.3211666666666667E-2</v>
      </c>
      <c r="AE36" s="22"/>
      <c r="AF36" s="22"/>
      <c r="AG36" s="22"/>
      <c r="AH36" s="19">
        <f t="shared" si="12"/>
        <v>0.41068283079473628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919.17</v>
      </c>
      <c r="I37" s="34">
        <f t="shared" si="5"/>
        <v>39.936</v>
      </c>
      <c r="J37" s="34">
        <f t="shared" si="6"/>
        <v>919.17</v>
      </c>
      <c r="K37" s="35">
        <f t="shared" si="7"/>
        <v>40.701900000000002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919.17</v>
      </c>
      <c r="Y37" s="16">
        <v>34.547800000000002</v>
      </c>
      <c r="Z37" s="16">
        <v>39.936</v>
      </c>
      <c r="AA37" s="16">
        <v>40.701900000000002</v>
      </c>
      <c r="AB37" s="16">
        <v>32.171999999999997</v>
      </c>
      <c r="AC37" s="16"/>
      <c r="AD37" s="18">
        <f t="shared" si="10"/>
        <v>8.9366666666666657E-3</v>
      </c>
      <c r="AE37" s="22"/>
      <c r="AF37" s="22"/>
      <c r="AG37" s="22"/>
      <c r="AH37" s="19">
        <f t="shared" si="12"/>
        <v>0.32181976412687935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499.57499999999999</v>
      </c>
      <c r="I38" s="36">
        <f t="shared" si="5"/>
        <v>38.161499999999997</v>
      </c>
      <c r="J38" s="36">
        <f t="shared" si="6"/>
        <v>499.57499999999999</v>
      </c>
      <c r="K38" s="37">
        <f t="shared" si="7"/>
        <v>38.653100000000002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499.57499999999999</v>
      </c>
      <c r="Y38" s="27">
        <v>31.716899999999999</v>
      </c>
      <c r="Z38" s="27">
        <v>38.161499999999997</v>
      </c>
      <c r="AA38" s="27">
        <v>38.653100000000002</v>
      </c>
      <c r="AB38" s="27">
        <v>23.155999999999999</v>
      </c>
      <c r="AC38" s="27"/>
      <c r="AD38" s="26">
        <f t="shared" si="10"/>
        <v>6.432222222222222E-3</v>
      </c>
      <c r="AE38" s="23"/>
      <c r="AF38" s="23"/>
      <c r="AG38" s="23"/>
      <c r="AH38" s="19">
        <f t="shared" si="12"/>
        <v>0.25626666961785766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8798.25</v>
      </c>
      <c r="I39" s="32">
        <f t="shared" si="5"/>
        <v>41.490699999999997</v>
      </c>
      <c r="J39" s="32">
        <f t="shared" si="6"/>
        <v>8798.25</v>
      </c>
      <c r="K39" s="33">
        <f t="shared" si="7"/>
        <v>42.220700000000001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8798.25</v>
      </c>
      <c r="Y39" s="29">
        <v>38.323300000000003</v>
      </c>
      <c r="Z39" s="29">
        <v>41.490699999999997</v>
      </c>
      <c r="AA39" s="29">
        <v>42.220700000000001</v>
      </c>
      <c r="AB39" s="29">
        <v>137.68799999999999</v>
      </c>
      <c r="AC39" s="29"/>
      <c r="AD39" s="15">
        <f t="shared" si="10"/>
        <v>3.8246666666666665E-2</v>
      </c>
      <c r="AE39" s="19">
        <f>RBJM($P39:$Q42,X39:Y42)</f>
        <v>-15.451646558520938</v>
      </c>
      <c r="AF39" s="19">
        <f>RBJM($D39:$E42,H39:I42)</f>
        <v>-17.752365284131777</v>
      </c>
      <c r="AG39" s="19">
        <f>RBJM($F39:$G42,J39:K42)</f>
        <v>-20.326156328969525</v>
      </c>
      <c r="AH39" s="19">
        <f t="shared" si="12"/>
        <v>0.64899413639020331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4153.6625000000004</v>
      </c>
      <c r="I40" s="34">
        <f t="shared" si="5"/>
        <v>38.832900000000002</v>
      </c>
      <c r="J40" s="34">
        <f t="shared" si="6"/>
        <v>4153.6625000000004</v>
      </c>
      <c r="K40" s="35">
        <f t="shared" si="7"/>
        <v>39.3461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4153.6625000000004</v>
      </c>
      <c r="Y40" s="16">
        <v>34.345100000000002</v>
      </c>
      <c r="Z40" s="16">
        <v>38.832900000000002</v>
      </c>
      <c r="AA40" s="16">
        <v>39.3461</v>
      </c>
      <c r="AB40" s="16">
        <v>91.938000000000002</v>
      </c>
      <c r="AC40" s="16"/>
      <c r="AD40" s="18">
        <f t="shared" si="10"/>
        <v>2.5538333333333333E-2</v>
      </c>
      <c r="AE40" s="22"/>
      <c r="AF40" s="22"/>
      <c r="AG40" s="22"/>
      <c r="AH40" s="19">
        <f t="shared" si="12"/>
        <v>0.58073929961089488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1996.65</v>
      </c>
      <c r="I41" s="34">
        <f t="shared" si="5"/>
        <v>36.696599999999997</v>
      </c>
      <c r="J41" s="34">
        <f t="shared" si="6"/>
        <v>1996.65</v>
      </c>
      <c r="K41" s="35">
        <f t="shared" si="7"/>
        <v>37.055999999999997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1996.65</v>
      </c>
      <c r="Y41" s="16">
        <v>30.941400000000002</v>
      </c>
      <c r="Z41" s="16">
        <v>36.696599999999997</v>
      </c>
      <c r="AA41" s="16">
        <v>37.055999999999997</v>
      </c>
      <c r="AB41" s="16">
        <v>62.125</v>
      </c>
      <c r="AC41" s="16"/>
      <c r="AD41" s="18">
        <f t="shared" si="10"/>
        <v>1.7256944444444443E-2</v>
      </c>
      <c r="AE41" s="22"/>
      <c r="AF41" s="22"/>
      <c r="AG41" s="22"/>
      <c r="AH41" s="19">
        <f t="shared" si="12"/>
        <v>0.4860046312232062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957.96249999999998</v>
      </c>
      <c r="I42" s="36">
        <f t="shared" si="5"/>
        <v>35.018099999999997</v>
      </c>
      <c r="J42" s="36">
        <f t="shared" si="6"/>
        <v>957.96249999999998</v>
      </c>
      <c r="K42" s="37">
        <f t="shared" si="7"/>
        <v>35.150500000000001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957.96249999999998</v>
      </c>
      <c r="Y42" s="27">
        <v>28.020499999999998</v>
      </c>
      <c r="Z42" s="27">
        <v>35.018099999999997</v>
      </c>
      <c r="AA42" s="27">
        <v>35.150500000000001</v>
      </c>
      <c r="AB42" s="27">
        <v>41.859000000000002</v>
      </c>
      <c r="AC42" s="27"/>
      <c r="AD42" s="26">
        <f t="shared" si="10"/>
        <v>1.1627500000000001E-2</v>
      </c>
      <c r="AE42" s="23"/>
      <c r="AF42" s="23"/>
      <c r="AG42" s="23"/>
      <c r="AH42" s="19">
        <f t="shared" si="12"/>
        <v>0.39782738858951333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4675.0424999999996</v>
      </c>
      <c r="I43" s="32">
        <f t="shared" si="5"/>
        <v>41.180799999999998</v>
      </c>
      <c r="J43" s="32">
        <f t="shared" si="6"/>
        <v>4675.0424999999996</v>
      </c>
      <c r="K43" s="33">
        <f t="shared" si="7"/>
        <v>42.308100000000003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4675.0424999999996</v>
      </c>
      <c r="Y43" s="29">
        <v>38.611699999999999</v>
      </c>
      <c r="Z43" s="29">
        <v>41.180799999999998</v>
      </c>
      <c r="AA43" s="29">
        <v>42.308100000000003</v>
      </c>
      <c r="AB43" s="29">
        <v>168.422</v>
      </c>
      <c r="AC43" s="29"/>
      <c r="AD43" s="15">
        <f t="shared" si="10"/>
        <v>4.6783888888888889E-2</v>
      </c>
      <c r="AE43" s="19">
        <f>RBJM($P43:$Q46,X43:Y46)</f>
        <v>-18.810505283167778</v>
      </c>
      <c r="AF43" s="19">
        <f>RBJM($D43:$E46,H43:I46)</f>
        <v>-8.3514361160145771</v>
      </c>
      <c r="AG43" s="19">
        <f>RBJM($F43:$G46,J43:K46)</f>
        <v>-10.992827007246831</v>
      </c>
      <c r="AH43" s="19">
        <f t="shared" si="12"/>
        <v>0.64576016440961304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2055.0300000000002</v>
      </c>
      <c r="I44" s="34">
        <f t="shared" si="5"/>
        <v>38.877000000000002</v>
      </c>
      <c r="J44" s="34">
        <f t="shared" si="6"/>
        <v>2055.0300000000002</v>
      </c>
      <c r="K44" s="35">
        <f t="shared" si="7"/>
        <v>40.037399999999998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2055.0300000000002</v>
      </c>
      <c r="Y44" s="16">
        <v>35.362400000000001</v>
      </c>
      <c r="Z44" s="16">
        <v>38.877000000000002</v>
      </c>
      <c r="AA44" s="16">
        <v>40.037399999999998</v>
      </c>
      <c r="AB44" s="16">
        <v>104.01600000000001</v>
      </c>
      <c r="AC44" s="16"/>
      <c r="AD44" s="18">
        <f t="shared" si="10"/>
        <v>2.8893333333333333E-2</v>
      </c>
      <c r="AE44" s="22"/>
      <c r="AF44" s="22"/>
      <c r="AG44" s="22"/>
      <c r="AH44" s="19">
        <f t="shared" si="12"/>
        <v>0.53487188189377233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963.24749999999995</v>
      </c>
      <c r="I45" s="34">
        <f t="shared" si="5"/>
        <v>36.927599999999998</v>
      </c>
      <c r="J45" s="34">
        <f t="shared" si="6"/>
        <v>963.24749999999995</v>
      </c>
      <c r="K45" s="35">
        <f t="shared" si="7"/>
        <v>38.059899999999999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963.24749999999995</v>
      </c>
      <c r="Y45" s="16">
        <v>32.325499999999998</v>
      </c>
      <c r="Z45" s="16">
        <v>36.927599999999998</v>
      </c>
      <c r="AA45" s="16">
        <v>38.059899999999999</v>
      </c>
      <c r="AB45" s="16">
        <v>68.311999999999998</v>
      </c>
      <c r="AC45" s="16"/>
      <c r="AD45" s="18">
        <f t="shared" si="10"/>
        <v>1.8975555555555555E-2</v>
      </c>
      <c r="AE45" s="22"/>
      <c r="AF45" s="22"/>
      <c r="AG45" s="22"/>
      <c r="AH45" s="19">
        <f t="shared" si="12"/>
        <v>0.42545558724978511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457.76249999999999</v>
      </c>
      <c r="I46" s="36">
        <f t="shared" si="5"/>
        <v>35.551000000000002</v>
      </c>
      <c r="J46" s="36">
        <f t="shared" si="6"/>
        <v>457.76249999999999</v>
      </c>
      <c r="K46" s="37">
        <f t="shared" si="7"/>
        <v>36.372199999999999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457.76249999999999</v>
      </c>
      <c r="Y46" s="27">
        <v>29.5017</v>
      </c>
      <c r="Z46" s="27">
        <v>35.551000000000002</v>
      </c>
      <c r="AA46" s="27">
        <v>36.372199999999999</v>
      </c>
      <c r="AB46" s="27">
        <v>46.078000000000003</v>
      </c>
      <c r="AC46" s="27"/>
      <c r="AD46" s="26">
        <f t="shared" si="10"/>
        <v>1.2799444444444445E-2</v>
      </c>
      <c r="AE46" s="23"/>
      <c r="AF46" s="23"/>
      <c r="AG46" s="23"/>
      <c r="AH46" s="19">
        <f t="shared" si="12"/>
        <v>0.34104315774670824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687</v>
      </c>
      <c r="I47" s="32">
        <f t="shared" si="5"/>
        <v>45.694200000000002</v>
      </c>
      <c r="J47" s="32">
        <f t="shared" si="6"/>
        <v>687</v>
      </c>
      <c r="K47" s="33">
        <f t="shared" si="7"/>
        <v>45.125999999999998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687</v>
      </c>
      <c r="Y47" s="29">
        <v>42.238900000000001</v>
      </c>
      <c r="Z47" s="29">
        <v>45.694200000000002</v>
      </c>
      <c r="AA47" s="29">
        <v>45.125999999999998</v>
      </c>
      <c r="AB47" s="29">
        <v>17</v>
      </c>
      <c r="AC47" s="29"/>
      <c r="AD47" s="15">
        <f t="shared" si="10"/>
        <v>4.7222222222222223E-3</v>
      </c>
      <c r="AE47" s="19">
        <f>RBJM($P47:$Q50,X47:Y50)</f>
        <v>-16.394209813172502</v>
      </c>
      <c r="AF47" s="19">
        <f>RBJM($D47:$E50,H47:I50)</f>
        <v>-27.740232359949736</v>
      </c>
      <c r="AG47" s="19">
        <f>RBJM($F47:$G50,J47:K50)</f>
        <v>-17.765759322299534</v>
      </c>
      <c r="AH47" s="19">
        <f t="shared" si="12"/>
        <v>0.57811331020880097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343.7</v>
      </c>
      <c r="I48" s="34">
        <f t="shared" si="5"/>
        <v>42.890300000000003</v>
      </c>
      <c r="J48" s="34">
        <f t="shared" si="6"/>
        <v>343.7</v>
      </c>
      <c r="K48" s="35">
        <f t="shared" si="7"/>
        <v>41.909599999999998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343.7</v>
      </c>
      <c r="Y48" s="16">
        <v>38.423400000000001</v>
      </c>
      <c r="Z48" s="16">
        <v>42.890300000000003</v>
      </c>
      <c r="AA48" s="16">
        <v>41.909599999999998</v>
      </c>
      <c r="AB48" s="16">
        <v>11.452999999999999</v>
      </c>
      <c r="AC48" s="16"/>
      <c r="AD48" s="18">
        <f t="shared" si="10"/>
        <v>3.1813888888888885E-3</v>
      </c>
      <c r="AE48" s="22"/>
      <c r="AF48" s="22"/>
      <c r="AG48" s="22"/>
      <c r="AH48" s="19">
        <f t="shared" si="12"/>
        <v>0.46806162899995907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176.375</v>
      </c>
      <c r="I49" s="34">
        <f t="shared" si="5"/>
        <v>40.708599999999997</v>
      </c>
      <c r="J49" s="34">
        <f t="shared" si="6"/>
        <v>176.375</v>
      </c>
      <c r="K49" s="35">
        <f t="shared" si="7"/>
        <v>39.271700000000003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176.375</v>
      </c>
      <c r="Y49" s="16">
        <v>35.069400000000002</v>
      </c>
      <c r="Z49" s="16">
        <v>40.708599999999997</v>
      </c>
      <c r="AA49" s="16">
        <v>39.271700000000003</v>
      </c>
      <c r="AB49" s="16">
        <v>7.9219999999999997</v>
      </c>
      <c r="AC49" s="16"/>
      <c r="AD49" s="18">
        <f t="shared" si="10"/>
        <v>2.2005555555555554E-3</v>
      </c>
      <c r="AE49" s="22"/>
      <c r="AF49" s="22"/>
      <c r="AG49" s="22"/>
      <c r="AH49" s="19">
        <f t="shared" si="12"/>
        <v>0.36344451071248335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94.25</v>
      </c>
      <c r="I50" s="36">
        <f t="shared" si="5"/>
        <v>38.4191</v>
      </c>
      <c r="J50" s="36">
        <f t="shared" si="6"/>
        <v>94.25</v>
      </c>
      <c r="K50" s="37">
        <f t="shared" si="7"/>
        <v>37.225000000000001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94.25</v>
      </c>
      <c r="Y50" s="27">
        <v>32.192100000000003</v>
      </c>
      <c r="Z50" s="27">
        <v>38.4191</v>
      </c>
      <c r="AA50" s="27">
        <v>37.225000000000001</v>
      </c>
      <c r="AB50" s="27">
        <v>5.7190000000000003</v>
      </c>
      <c r="AC50" s="27"/>
      <c r="AD50" s="26">
        <f t="shared" si="10"/>
        <v>1.5886111111111112E-3</v>
      </c>
      <c r="AE50" s="23"/>
      <c r="AF50" s="23"/>
      <c r="AG50" s="23"/>
      <c r="AH50" s="19">
        <f t="shared" si="12"/>
        <v>0.28888215386169624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1481.875</v>
      </c>
      <c r="I51" s="30">
        <f t="shared" si="5"/>
        <v>41.483499999999999</v>
      </c>
      <c r="J51" s="30">
        <f t="shared" si="6"/>
        <v>1481.875</v>
      </c>
      <c r="K51" s="31">
        <f t="shared" si="7"/>
        <v>43.601500000000001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1481.875</v>
      </c>
      <c r="Y51" s="29">
        <v>38.358899999999998</v>
      </c>
      <c r="Z51" s="29">
        <v>41.483499999999999</v>
      </c>
      <c r="AA51" s="29">
        <v>43.601500000000001</v>
      </c>
      <c r="AB51" s="29">
        <v>31.265999999999998</v>
      </c>
      <c r="AC51" s="29"/>
      <c r="AD51" s="15">
        <f t="shared" si="10"/>
        <v>8.685E-3</v>
      </c>
      <c r="AE51" s="19">
        <f>RBJM($P51:$Q54,X51:Y54)</f>
        <v>-16.392569577047624</v>
      </c>
      <c r="AF51" s="19">
        <f>RBJM($D51:$E54,H51:I54)</f>
        <v>-11.674062100733984</v>
      </c>
      <c r="AG51" s="19">
        <f>RBJM($F51:$G54,J51:K54)</f>
        <v>-18.026031647362728</v>
      </c>
      <c r="AH51" s="19">
        <f t="shared" si="12"/>
        <v>0.67692907248636003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660.92499999999995</v>
      </c>
      <c r="I52" s="13">
        <f t="shared" si="5"/>
        <v>38.865299999999998</v>
      </c>
      <c r="J52" s="13">
        <f t="shared" si="6"/>
        <v>660.92499999999995</v>
      </c>
      <c r="K52" s="14">
        <f t="shared" si="7"/>
        <v>40.967799999999997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660.92499999999995</v>
      </c>
      <c r="Y52" s="16">
        <v>35.025100000000002</v>
      </c>
      <c r="Z52" s="16">
        <v>38.865299999999998</v>
      </c>
      <c r="AA52" s="16">
        <v>40.967799999999997</v>
      </c>
      <c r="AB52" s="16">
        <v>20.077999999999999</v>
      </c>
      <c r="AC52" s="16"/>
      <c r="AD52" s="18">
        <f t="shared" si="10"/>
        <v>5.5772222222222221E-3</v>
      </c>
      <c r="AE52" s="22"/>
      <c r="AF52" s="22"/>
      <c r="AG52" s="22"/>
      <c r="AH52" s="19">
        <f t="shared" si="12"/>
        <v>0.59599857516029442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311.78750000000002</v>
      </c>
      <c r="I53" s="13">
        <f t="shared" si="5"/>
        <v>36.791800000000002</v>
      </c>
      <c r="J53" s="13">
        <f t="shared" si="6"/>
        <v>311.78750000000002</v>
      </c>
      <c r="K53" s="14">
        <f t="shared" si="7"/>
        <v>38.6432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311.78750000000002</v>
      </c>
      <c r="Y53" s="16">
        <v>32.066099999999999</v>
      </c>
      <c r="Z53" s="16">
        <v>36.791800000000002</v>
      </c>
      <c r="AA53" s="16">
        <v>38.6432</v>
      </c>
      <c r="AB53" s="16">
        <v>12.718999999999999</v>
      </c>
      <c r="AC53" s="16"/>
      <c r="AD53" s="18">
        <f t="shared" si="10"/>
        <v>3.5330555555555553E-3</v>
      </c>
      <c r="AE53" s="22"/>
      <c r="AF53" s="22"/>
      <c r="AG53" s="22"/>
      <c r="AH53" s="19">
        <f t="shared" si="12"/>
        <v>0.46382466632630731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156.16249999999999</v>
      </c>
      <c r="I54" s="24">
        <f t="shared" si="5"/>
        <v>34.942700000000002</v>
      </c>
      <c r="J54" s="24">
        <f t="shared" si="6"/>
        <v>156.16249999999999</v>
      </c>
      <c r="K54" s="25">
        <f t="shared" si="7"/>
        <v>36.834099999999999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156.16249999999999</v>
      </c>
      <c r="Y54" s="27">
        <v>29.595800000000001</v>
      </c>
      <c r="Z54" s="27">
        <v>34.942700000000002</v>
      </c>
      <c r="AA54" s="27">
        <v>36.834099999999999</v>
      </c>
      <c r="AB54" s="27">
        <v>8.5939999999999994</v>
      </c>
      <c r="AC54" s="27"/>
      <c r="AD54" s="26">
        <f t="shared" si="10"/>
        <v>2.387222222222222E-3</v>
      </c>
      <c r="AE54" s="23"/>
      <c r="AF54" s="23"/>
      <c r="AG54" s="23"/>
      <c r="AH54" s="19">
        <f t="shared" si="12"/>
        <v>0.3698889558405784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1342.2449999999999</v>
      </c>
      <c r="I55" s="32">
        <f t="shared" si="5"/>
        <v>44.897100000000002</v>
      </c>
      <c r="J55" s="32">
        <f t="shared" si="6"/>
        <v>1342.2449999999999</v>
      </c>
      <c r="K55" s="33">
        <f t="shared" si="7"/>
        <v>45.716000000000001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1342.2449999999999</v>
      </c>
      <c r="Y55" s="29">
        <v>38.967700000000001</v>
      </c>
      <c r="Z55" s="29">
        <v>44.897100000000002</v>
      </c>
      <c r="AA55" s="29">
        <v>45.716000000000001</v>
      </c>
      <c r="AB55" s="29">
        <v>19.219000000000001</v>
      </c>
      <c r="AC55" s="29"/>
      <c r="AD55" s="15">
        <f t="shared" si="10"/>
        <v>5.3386111111111117E-3</v>
      </c>
      <c r="AE55" s="19">
        <f>RBJM($P55:$Q58,X55:Y58)</f>
        <v>-19.051668693644487</v>
      </c>
      <c r="AF55" s="19">
        <f>RBJM($D55:$E58,H55:I58)</f>
        <v>-29.828573536162793</v>
      </c>
      <c r="AG55" s="19">
        <f>RBJM($F55:$G58,J55:K58)</f>
        <v>-30.240549826480311</v>
      </c>
      <c r="AH55" s="19">
        <f t="shared" si="12"/>
        <v>0.54449386633424945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611.34</v>
      </c>
      <c r="I56" s="34">
        <f t="shared" si="5"/>
        <v>42.588099999999997</v>
      </c>
      <c r="J56" s="34">
        <f t="shared" si="6"/>
        <v>611.34</v>
      </c>
      <c r="K56" s="35">
        <f t="shared" si="7"/>
        <v>43.314799999999998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611.34</v>
      </c>
      <c r="Y56" s="16">
        <v>35.457000000000001</v>
      </c>
      <c r="Z56" s="16">
        <v>42.588099999999997</v>
      </c>
      <c r="AA56" s="16">
        <v>43.314799999999998</v>
      </c>
      <c r="AB56" s="16">
        <v>12.952999999999999</v>
      </c>
      <c r="AC56" s="16"/>
      <c r="AD56" s="18">
        <f t="shared" si="10"/>
        <v>3.5980555555555553E-3</v>
      </c>
      <c r="AE56" s="22"/>
      <c r="AF56" s="22"/>
      <c r="AG56" s="22"/>
      <c r="AH56" s="19">
        <f t="shared" si="12"/>
        <v>0.50672873797042484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311.37</v>
      </c>
      <c r="I57" s="34">
        <f t="shared" si="5"/>
        <v>40.555399999999999</v>
      </c>
      <c r="J57" s="34">
        <f t="shared" si="6"/>
        <v>311.37</v>
      </c>
      <c r="K57" s="35">
        <f t="shared" si="7"/>
        <v>41.194499999999998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311.37</v>
      </c>
      <c r="Y57" s="16">
        <v>32.197299999999998</v>
      </c>
      <c r="Z57" s="16">
        <v>40.555399999999999</v>
      </c>
      <c r="AA57" s="16">
        <v>41.194499999999998</v>
      </c>
      <c r="AB57" s="16">
        <v>8.734</v>
      </c>
      <c r="AC57" s="16"/>
      <c r="AD57" s="18">
        <f t="shared" si="10"/>
        <v>2.4261111111111111E-3</v>
      </c>
      <c r="AE57" s="22"/>
      <c r="AF57" s="22"/>
      <c r="AG57" s="22"/>
      <c r="AH57" s="19">
        <f t="shared" si="12"/>
        <v>0.4092016491754123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180.27</v>
      </c>
      <c r="I58" s="36">
        <f t="shared" si="5"/>
        <v>38.740499999999997</v>
      </c>
      <c r="J58" s="36">
        <f t="shared" si="6"/>
        <v>180.27</v>
      </c>
      <c r="K58" s="37">
        <f t="shared" si="7"/>
        <v>39.223100000000002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180.27</v>
      </c>
      <c r="Y58" s="27">
        <v>29.4697</v>
      </c>
      <c r="Z58" s="27">
        <v>38.740499999999997</v>
      </c>
      <c r="AA58" s="27">
        <v>39.223100000000002</v>
      </c>
      <c r="AB58" s="27">
        <v>6.5</v>
      </c>
      <c r="AC58" s="27"/>
      <c r="AD58" s="26">
        <f t="shared" si="10"/>
        <v>1.8055555555555555E-3</v>
      </c>
      <c r="AE58" s="23"/>
      <c r="AF58" s="23"/>
      <c r="AG58" s="23"/>
      <c r="AH58" s="19">
        <f t="shared" si="12"/>
        <v>0.33794322553810957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1232.625</v>
      </c>
      <c r="I59" s="30">
        <f t="shared" si="5"/>
        <v>41.274799999999999</v>
      </c>
      <c r="J59" s="30">
        <f t="shared" si="6"/>
        <v>1232.625</v>
      </c>
      <c r="K59" s="31">
        <f t="shared" si="7"/>
        <v>41.7149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1232.625</v>
      </c>
      <c r="Y59" s="29">
        <v>39.023299999999999</v>
      </c>
      <c r="Z59" s="29">
        <v>41.274799999999999</v>
      </c>
      <c r="AA59" s="29">
        <v>41.7149</v>
      </c>
      <c r="AB59" s="29">
        <v>41.5</v>
      </c>
      <c r="AC59" s="29"/>
      <c r="AD59" s="15">
        <f t="shared" si="10"/>
        <v>1.1527777777777777E-2</v>
      </c>
      <c r="AE59" s="19">
        <f>RBJM($P59:$Q62,X59:Y62)</f>
        <v>-14.560682749870058</v>
      </c>
      <c r="AF59" s="19">
        <f>RBJM($D59:$E62,H59:I62)</f>
        <v>-7.8881726496169087</v>
      </c>
      <c r="AG59" s="19">
        <f>RBJM($F59:$G62,J59:K62)</f>
        <v>-4.9466088196074569</v>
      </c>
      <c r="AH59" s="19">
        <f t="shared" si="12"/>
        <v>0.67720827010003104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590.99249999999995</v>
      </c>
      <c r="I60" s="13">
        <f t="shared" si="5"/>
        <v>38.513800000000003</v>
      </c>
      <c r="J60" s="13">
        <f t="shared" si="6"/>
        <v>590.99249999999995</v>
      </c>
      <c r="K60" s="14">
        <f t="shared" si="7"/>
        <v>38.874899999999997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590.99249999999995</v>
      </c>
      <c r="Y60" s="16">
        <v>34.924700000000001</v>
      </c>
      <c r="Z60" s="16">
        <v>38.513800000000003</v>
      </c>
      <c r="AA60" s="16">
        <v>38.874899999999997</v>
      </c>
      <c r="AB60" s="16">
        <v>26.984000000000002</v>
      </c>
      <c r="AC60" s="16"/>
      <c r="AD60" s="18">
        <f t="shared" si="10"/>
        <v>7.4955555555555557E-3</v>
      </c>
      <c r="AE60" s="22"/>
      <c r="AF60" s="22"/>
      <c r="AG60" s="22"/>
      <c r="AH60" s="19">
        <f t="shared" si="12"/>
        <v>0.57146487642686206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288.79500000000002</v>
      </c>
      <c r="I61" s="13">
        <f t="shared" si="5"/>
        <v>36.370600000000003</v>
      </c>
      <c r="J61" s="13">
        <f t="shared" si="6"/>
        <v>288.79500000000002</v>
      </c>
      <c r="K61" s="14">
        <f t="shared" si="7"/>
        <v>36.366999999999997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288.79500000000002</v>
      </c>
      <c r="Y61" s="16">
        <v>31.428000000000001</v>
      </c>
      <c r="Z61" s="16">
        <v>36.370600000000003</v>
      </c>
      <c r="AA61" s="16">
        <v>36.366999999999997</v>
      </c>
      <c r="AB61" s="16">
        <v>17.890999999999998</v>
      </c>
      <c r="AC61" s="16"/>
      <c r="AD61" s="18">
        <f t="shared" si="10"/>
        <v>4.9697222222222217E-3</v>
      </c>
      <c r="AE61" s="22"/>
      <c r="AF61" s="22"/>
      <c r="AG61" s="22"/>
      <c r="AH61" s="19">
        <f t="shared" si="12"/>
        <v>0.46226390719065696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145.13249999999999</v>
      </c>
      <c r="I62" s="38">
        <f t="shared" si="5"/>
        <v>34.834600000000002</v>
      </c>
      <c r="J62" s="38">
        <f t="shared" si="6"/>
        <v>145.13249999999999</v>
      </c>
      <c r="K62" s="39">
        <f t="shared" si="7"/>
        <v>34.4694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145.13249999999999</v>
      </c>
      <c r="Y62" s="27">
        <v>28.633099999999999</v>
      </c>
      <c r="Z62" s="27">
        <v>34.834600000000002</v>
      </c>
      <c r="AA62" s="27">
        <v>34.4694</v>
      </c>
      <c r="AB62" s="27">
        <v>12.047000000000001</v>
      </c>
      <c r="AC62" s="27"/>
      <c r="AD62" s="26">
        <f t="shared" si="10"/>
        <v>3.3463888888888892E-3</v>
      </c>
      <c r="AE62" s="23"/>
      <c r="AF62" s="23"/>
      <c r="AG62" s="23"/>
      <c r="AH62" s="19">
        <f t="shared" si="12"/>
        <v>0.37719957417496403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2059.875</v>
      </c>
      <c r="I63" s="32">
        <f t="shared" si="5"/>
        <v>47.994799999999998</v>
      </c>
      <c r="J63" s="32">
        <f t="shared" si="6"/>
        <v>2059.875</v>
      </c>
      <c r="K63" s="33">
        <f t="shared" si="7"/>
        <v>49.448300000000003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2059.875</v>
      </c>
      <c r="Y63" s="29">
        <v>43.310299999999998</v>
      </c>
      <c r="Z63" s="29">
        <v>47.994799999999998</v>
      </c>
      <c r="AA63" s="29">
        <v>49.448300000000003</v>
      </c>
      <c r="AB63" s="29">
        <v>72.233999999999995</v>
      </c>
      <c r="AC63" s="29"/>
      <c r="AD63" s="15">
        <f t="shared" si="10"/>
        <v>2.0065E-2</v>
      </c>
      <c r="AE63" s="19">
        <f>RBJM($P63:$Q66,X63:Y66)</f>
        <v>-26.332584163778915</v>
      </c>
      <c r="AF63" s="19">
        <f>RBJM($D63:$E66,H63:I66)</f>
        <v>-39.357001959349184</v>
      </c>
      <c r="AG63" s="19">
        <f>RBJM($F63:$G66,J63:K66)</f>
        <v>-35.478362223144025</v>
      </c>
      <c r="AH63" s="19">
        <f t="shared" si="12"/>
        <v>0.35335727074385337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1064.385</v>
      </c>
      <c r="I64" s="34">
        <f t="shared" si="5"/>
        <v>46.4482</v>
      </c>
      <c r="J64" s="34">
        <f t="shared" si="6"/>
        <v>1064.385</v>
      </c>
      <c r="K64" s="35">
        <f t="shared" si="7"/>
        <v>47.733199999999997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1064.385</v>
      </c>
      <c r="Y64" s="16">
        <v>41.7562</v>
      </c>
      <c r="Z64" s="16">
        <v>46.4482</v>
      </c>
      <c r="AA64" s="16">
        <v>47.733199999999997</v>
      </c>
      <c r="AB64" s="16">
        <v>43.75</v>
      </c>
      <c r="AC64" s="16"/>
      <c r="AD64" s="18">
        <f t="shared" si="10"/>
        <v>1.2152777777777778E-2</v>
      </c>
      <c r="AE64" s="22"/>
      <c r="AF64" s="22"/>
      <c r="AG64" s="22"/>
      <c r="AH64" s="19">
        <f t="shared" si="12"/>
        <v>0.24456233125199145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620.30999999999995</v>
      </c>
      <c r="I65" s="34">
        <f t="shared" si="5"/>
        <v>44.835000000000001</v>
      </c>
      <c r="J65" s="34">
        <f t="shared" si="6"/>
        <v>620.30999999999995</v>
      </c>
      <c r="K65" s="35">
        <f t="shared" si="7"/>
        <v>45.752699999999997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620.30999999999995</v>
      </c>
      <c r="Y65" s="16">
        <v>39.525599999999997</v>
      </c>
      <c r="Z65" s="16">
        <v>44.835000000000001</v>
      </c>
      <c r="AA65" s="16">
        <v>45.752699999999997</v>
      </c>
      <c r="AB65" s="16">
        <v>30.844000000000001</v>
      </c>
      <c r="AC65" s="16"/>
      <c r="AD65" s="18">
        <f t="shared" si="10"/>
        <v>8.5677777777777783E-3</v>
      </c>
      <c r="AE65" s="22"/>
      <c r="AF65" s="22"/>
      <c r="AG65" s="22"/>
      <c r="AH65" s="19">
        <f t="shared" si="12"/>
        <v>0.18128493426040757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372</v>
      </c>
      <c r="I66" s="36">
        <f t="shared" si="5"/>
        <v>42.468699999999998</v>
      </c>
      <c r="J66" s="36">
        <f t="shared" si="6"/>
        <v>372</v>
      </c>
      <c r="K66" s="37">
        <f t="shared" si="7"/>
        <v>43.595100000000002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372</v>
      </c>
      <c r="Y66" s="27">
        <v>36.921799999999998</v>
      </c>
      <c r="Z66" s="27">
        <v>42.468699999999998</v>
      </c>
      <c r="AA66" s="27">
        <v>43.595100000000002</v>
      </c>
      <c r="AB66" s="27">
        <v>24.265999999999998</v>
      </c>
      <c r="AC66" s="27"/>
      <c r="AD66" s="26">
        <f t="shared" si="10"/>
        <v>6.7405555555555552E-3</v>
      </c>
      <c r="AE66" s="23"/>
      <c r="AF66" s="23"/>
      <c r="AG66" s="23"/>
      <c r="AH66" s="19">
        <f t="shared" si="12"/>
        <v>0.14740167046317387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1630.8150000000001</v>
      </c>
      <c r="I67" s="30">
        <f t="shared" ref="I67:I90" si="18">Z67</f>
        <v>49.065399999999997</v>
      </c>
      <c r="J67" s="30">
        <f t="shared" ref="J67:J90" si="19">X67</f>
        <v>1630.8150000000001</v>
      </c>
      <c r="K67" s="31">
        <f t="shared" ref="K67:K90" si="20">AA67</f>
        <v>49.820900000000002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1630.8150000000001</v>
      </c>
      <c r="Y67" s="29">
        <v>43.1327</v>
      </c>
      <c r="Z67" s="29">
        <v>49.065399999999997</v>
      </c>
      <c r="AA67" s="29">
        <v>49.820900000000002</v>
      </c>
      <c r="AB67" s="29">
        <v>71.296999999999997</v>
      </c>
      <c r="AC67" s="29"/>
      <c r="AD67" s="15">
        <f t="shared" ref="AD67:AD90" si="23">AB67/3600</f>
        <v>1.980472222222222E-2</v>
      </c>
      <c r="AE67" s="19">
        <f>RBJM($P67:$Q70,X67:Y70)</f>
        <v>-29.622186132211759</v>
      </c>
      <c r="AF67" s="19">
        <f>RBJM($D67:$E70,H67:I70)</f>
        <v>-39.437403567095217</v>
      </c>
      <c r="AG67" s="19">
        <f>RBJM($F67:$G70,J67:K70)</f>
        <v>-39.693209541206663</v>
      </c>
      <c r="AH67" s="19">
        <f t="shared" si="12"/>
        <v>0.33817614358624087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663.91499999999996</v>
      </c>
      <c r="I68" s="13">
        <f t="shared" si="18"/>
        <v>47.801499999999997</v>
      </c>
      <c r="J68" s="13">
        <f t="shared" si="19"/>
        <v>663.91499999999996</v>
      </c>
      <c r="K68" s="14">
        <f t="shared" si="20"/>
        <v>48.4084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663.91499999999996</v>
      </c>
      <c r="Y68" s="16">
        <v>41.888100000000001</v>
      </c>
      <c r="Z68" s="16">
        <v>47.801499999999997</v>
      </c>
      <c r="AA68" s="16">
        <v>48.4084</v>
      </c>
      <c r="AB68" s="16">
        <v>40.328000000000003</v>
      </c>
      <c r="AC68" s="16"/>
      <c r="AD68" s="18">
        <f t="shared" si="23"/>
        <v>1.1202222222222223E-2</v>
      </c>
      <c r="AE68" s="22"/>
      <c r="AF68" s="22"/>
      <c r="AG68" s="22"/>
      <c r="AH68" s="19">
        <f t="shared" si="12"/>
        <v>0.22658216468896081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358.78500000000003</v>
      </c>
      <c r="I69" s="13">
        <f t="shared" si="18"/>
        <v>46.346600000000002</v>
      </c>
      <c r="J69" s="13">
        <f t="shared" si="19"/>
        <v>358.78500000000003</v>
      </c>
      <c r="K69" s="14">
        <f t="shared" si="20"/>
        <v>46.763800000000003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358.78500000000003</v>
      </c>
      <c r="Y69" s="16">
        <v>40.319499999999998</v>
      </c>
      <c r="Z69" s="16">
        <v>46.346600000000002</v>
      </c>
      <c r="AA69" s="16">
        <v>46.763800000000003</v>
      </c>
      <c r="AB69" s="16">
        <v>27.030999999999999</v>
      </c>
      <c r="AC69" s="16"/>
      <c r="AD69" s="18">
        <f t="shared" si="23"/>
        <v>7.5086111111111109E-3</v>
      </c>
      <c r="AE69" s="22"/>
      <c r="AF69" s="22"/>
      <c r="AG69" s="22"/>
      <c r="AH69" s="19">
        <f t="shared" si="12"/>
        <v>0.1604508841389217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207.465</v>
      </c>
      <c r="I70" s="24">
        <f t="shared" si="18"/>
        <v>43.9133</v>
      </c>
      <c r="J70" s="24">
        <f t="shared" si="19"/>
        <v>207.465</v>
      </c>
      <c r="K70" s="25">
        <f t="shared" si="20"/>
        <v>44.752000000000002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207.465</v>
      </c>
      <c r="Y70" s="27">
        <v>38.284199999999998</v>
      </c>
      <c r="Z70" s="27">
        <v>43.9133</v>
      </c>
      <c r="AA70" s="27">
        <v>44.752000000000002</v>
      </c>
      <c r="AB70" s="27">
        <v>20.280999999999999</v>
      </c>
      <c r="AC70" s="27"/>
      <c r="AD70" s="26">
        <f t="shared" si="23"/>
        <v>5.6336111111111109E-3</v>
      </c>
      <c r="AE70" s="23"/>
      <c r="AF70" s="23"/>
      <c r="AG70" s="23"/>
      <c r="AH70" s="19">
        <f t="shared" si="12"/>
        <v>0.1245310360495889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1801.4849999999999</v>
      </c>
      <c r="I71" s="30">
        <f t="shared" si="18"/>
        <v>48.478700000000003</v>
      </c>
      <c r="J71" s="30">
        <f t="shared" si="19"/>
        <v>1801.4849999999999</v>
      </c>
      <c r="K71" s="31">
        <f t="shared" si="20"/>
        <v>49.510599999999997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1801.4849999999999</v>
      </c>
      <c r="Y71" s="29">
        <v>43.654400000000003</v>
      </c>
      <c r="Z71" s="29">
        <v>48.478700000000003</v>
      </c>
      <c r="AA71" s="29">
        <v>49.510599999999997</v>
      </c>
      <c r="AB71" s="29">
        <v>72.031000000000006</v>
      </c>
      <c r="AC71" s="29"/>
      <c r="AD71" s="15">
        <f t="shared" si="23"/>
        <v>2.0008611111111112E-2</v>
      </c>
      <c r="AE71" s="19">
        <f>RBJM($P71:$Q74,X71:Y74)</f>
        <v>-28.465764526842197</v>
      </c>
      <c r="AF71" s="19">
        <f>RBJM($D71:$E74,H71:I74)</f>
        <v>-38.375187025401601</v>
      </c>
      <c r="AG71" s="19">
        <f>RBJM($F71:$G74,J71:K74)</f>
        <v>-38.220359216626868</v>
      </c>
      <c r="AH71" s="19">
        <f t="shared" si="12"/>
        <v>0.33115265083947854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839.91</v>
      </c>
      <c r="I72" s="13">
        <f t="shared" si="18"/>
        <v>47.058700000000002</v>
      </c>
      <c r="J72" s="13">
        <f t="shared" si="19"/>
        <v>839.91</v>
      </c>
      <c r="K72" s="14">
        <f t="shared" si="20"/>
        <v>47.978900000000003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839.91</v>
      </c>
      <c r="Y72" s="16">
        <v>42.116100000000003</v>
      </c>
      <c r="Z72" s="16">
        <v>47.058700000000002</v>
      </c>
      <c r="AA72" s="16">
        <v>47.978900000000003</v>
      </c>
      <c r="AB72" s="16">
        <v>43.155999999999999</v>
      </c>
      <c r="AC72" s="16"/>
      <c r="AD72" s="18">
        <f t="shared" si="23"/>
        <v>1.1987777777777778E-2</v>
      </c>
      <c r="AE72" s="22"/>
      <c r="AF72" s="22"/>
      <c r="AG72" s="22"/>
      <c r="AH72" s="19">
        <f t="shared" si="12"/>
        <v>0.22693140946090906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458.17500000000001</v>
      </c>
      <c r="I73" s="13">
        <f t="shared" si="18"/>
        <v>45.376300000000001</v>
      </c>
      <c r="J73" s="13">
        <f t="shared" si="19"/>
        <v>458.17500000000001</v>
      </c>
      <c r="K73" s="14">
        <f t="shared" si="20"/>
        <v>46.227899999999998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458.17500000000001</v>
      </c>
      <c r="Y73" s="16">
        <v>40.124899999999997</v>
      </c>
      <c r="Z73" s="16">
        <v>45.376300000000001</v>
      </c>
      <c r="AA73" s="16">
        <v>46.227899999999998</v>
      </c>
      <c r="AB73" s="16">
        <v>29.469000000000001</v>
      </c>
      <c r="AC73" s="16"/>
      <c r="AD73" s="18">
        <f t="shared" si="23"/>
        <v>8.1858333333333332E-3</v>
      </c>
      <c r="AE73" s="22"/>
      <c r="AF73" s="22"/>
      <c r="AG73" s="22"/>
      <c r="AH73" s="19">
        <f t="shared" si="12"/>
        <v>0.16570140122804256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267.64499999999998</v>
      </c>
      <c r="I74" s="38">
        <f t="shared" si="18"/>
        <v>43.184399999999997</v>
      </c>
      <c r="J74" s="38">
        <f t="shared" si="19"/>
        <v>267.64499999999998</v>
      </c>
      <c r="K74" s="39">
        <f t="shared" si="20"/>
        <v>44.235999999999997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267.64499999999998</v>
      </c>
      <c r="Y74" s="27">
        <v>37.842399999999998</v>
      </c>
      <c r="Z74" s="27">
        <v>43.184399999999997</v>
      </c>
      <c r="AA74" s="27">
        <v>44.235999999999997</v>
      </c>
      <c r="AB74" s="27">
        <v>22.234000000000002</v>
      </c>
      <c r="AC74" s="27"/>
      <c r="AD74" s="26">
        <f t="shared" si="23"/>
        <v>6.1761111111111114E-3</v>
      </c>
      <c r="AE74" s="23"/>
      <c r="AF74" s="23"/>
      <c r="AG74" s="23"/>
      <c r="AH74" s="19">
        <f t="shared" si="12"/>
        <v>0.13041693062105536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2646.9875000000002</v>
      </c>
      <c r="I75" s="32">
        <f t="shared" si="18"/>
        <v>44.194400000000002</v>
      </c>
      <c r="J75" s="32">
        <f t="shared" si="19"/>
        <v>2646.9875000000002</v>
      </c>
      <c r="K75" s="33">
        <f t="shared" si="20"/>
        <v>44.9923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2646.9875000000002</v>
      </c>
      <c r="Y75" s="29">
        <v>41.637599999999999</v>
      </c>
      <c r="Z75" s="29">
        <v>44.194400000000002</v>
      </c>
      <c r="AA75" s="29">
        <v>44.9923</v>
      </c>
      <c r="AB75" s="29">
        <v>81.858999999999995</v>
      </c>
      <c r="AC75" s="29"/>
      <c r="AD75" s="15">
        <f t="shared" si="23"/>
        <v>2.2738611111111109E-2</v>
      </c>
      <c r="AE75" s="19">
        <f>RBJM($P75:$Q78,X75:Y78)</f>
        <v>-25.79709961822152</v>
      </c>
      <c r="AF75" s="19">
        <f>RBJM($D75:$E78,H75:I78)</f>
        <v>-29.974929354188717</v>
      </c>
      <c r="AG75" s="19">
        <f>RBJM($F75:$G78,J75:K78)</f>
        <v>-32.158378869852591</v>
      </c>
      <c r="AH75" s="19">
        <f t="shared" si="12"/>
        <v>0.51702162599161228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1258.1624999999999</v>
      </c>
      <c r="I76" s="34">
        <f t="shared" si="18"/>
        <v>41.650599999999997</v>
      </c>
      <c r="J76" s="34">
        <f t="shared" si="19"/>
        <v>1258.1624999999999</v>
      </c>
      <c r="K76" s="35">
        <f t="shared" si="20"/>
        <v>42.143099999999997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1258.1624999999999</v>
      </c>
      <c r="Y76" s="16">
        <v>38.491799999999998</v>
      </c>
      <c r="Z76" s="16">
        <v>41.650599999999997</v>
      </c>
      <c r="AA76" s="16">
        <v>42.143099999999997</v>
      </c>
      <c r="AB76" s="16">
        <v>51.625</v>
      </c>
      <c r="AC76" s="16"/>
      <c r="AD76" s="18">
        <f t="shared" si="23"/>
        <v>1.4340277777777778E-2</v>
      </c>
      <c r="AE76" s="22"/>
      <c r="AF76" s="22"/>
      <c r="AG76" s="22"/>
      <c r="AH76" s="19">
        <f t="shared" si="12"/>
        <v>0.4084062465389301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634.67499999999995</v>
      </c>
      <c r="I77" s="34">
        <f t="shared" si="18"/>
        <v>39.486899999999999</v>
      </c>
      <c r="J77" s="34">
        <f t="shared" si="19"/>
        <v>634.67499999999995</v>
      </c>
      <c r="K77" s="35">
        <f t="shared" si="20"/>
        <v>39.748399999999997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634.67499999999995</v>
      </c>
      <c r="Y77" s="16">
        <v>35.525599999999997</v>
      </c>
      <c r="Z77" s="16">
        <v>39.486899999999999</v>
      </c>
      <c r="AA77" s="16">
        <v>39.748399999999997</v>
      </c>
      <c r="AB77" s="16">
        <v>34.875</v>
      </c>
      <c r="AC77" s="16"/>
      <c r="AD77" s="18">
        <f t="shared" si="23"/>
        <v>9.6874999999999999E-3</v>
      </c>
      <c r="AE77" s="22"/>
      <c r="AF77" s="22"/>
      <c r="AG77" s="22"/>
      <c r="AH77" s="19">
        <f t="shared" si="12"/>
        <v>0.32263585397894429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336.2</v>
      </c>
      <c r="I78" s="36">
        <f t="shared" si="18"/>
        <v>37.413400000000003</v>
      </c>
      <c r="J78" s="36">
        <f t="shared" si="19"/>
        <v>336.2</v>
      </c>
      <c r="K78" s="37">
        <f t="shared" si="20"/>
        <v>37.341200000000001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336.2</v>
      </c>
      <c r="Y78" s="27">
        <v>32.870800000000003</v>
      </c>
      <c r="Z78" s="27">
        <v>37.413400000000003</v>
      </c>
      <c r="AA78" s="27">
        <v>37.341200000000001</v>
      </c>
      <c r="AB78" s="27">
        <v>23.969000000000001</v>
      </c>
      <c r="AC78" s="27"/>
      <c r="AD78" s="26">
        <f t="shared" si="23"/>
        <v>6.6580555555555559E-3</v>
      </c>
      <c r="AE78" s="23"/>
      <c r="AF78" s="23"/>
      <c r="AG78" s="23"/>
      <c r="AH78" s="19">
        <f t="shared" si="12"/>
        <v>0.24910880387449466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4473.3824999999997</v>
      </c>
      <c r="I79" s="30">
        <f t="shared" si="18"/>
        <v>46.162300000000002</v>
      </c>
      <c r="J79" s="30">
        <f t="shared" si="19"/>
        <v>4473.3824999999997</v>
      </c>
      <c r="K79" s="31">
        <f t="shared" si="20"/>
        <v>46.050699999999999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4473.3824999999997</v>
      </c>
      <c r="Y79" s="29">
        <v>42.968699999999998</v>
      </c>
      <c r="Z79" s="29">
        <v>46.162300000000002</v>
      </c>
      <c r="AA79" s="29">
        <v>46.050699999999999</v>
      </c>
      <c r="AB79" s="29">
        <v>163.15600000000001</v>
      </c>
      <c r="AC79" s="29"/>
      <c r="AD79" s="15">
        <f t="shared" si="23"/>
        <v>4.5321111111111111E-2</v>
      </c>
      <c r="AE79" s="19">
        <f>RBJM($P79:$Q82,X79:Y82)</f>
        <v>3.6149276710949474</v>
      </c>
      <c r="AF79" s="19">
        <f>RBJM($D79:$E82,H79:I82)</f>
        <v>-18.18758015238955</v>
      </c>
      <c r="AG79" s="19">
        <f>RBJM($F79:$G82,J79:K82)</f>
        <v>-4.4118945227554329</v>
      </c>
      <c r="AH79" s="19">
        <f t="shared" si="12"/>
        <v>0.4437349056809034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2295.6750000000002</v>
      </c>
      <c r="I80" s="13">
        <f t="shared" si="18"/>
        <v>43.490600000000001</v>
      </c>
      <c r="J80" s="13">
        <f t="shared" si="19"/>
        <v>2295.6750000000002</v>
      </c>
      <c r="K80" s="14">
        <f t="shared" si="20"/>
        <v>42.953299999999999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2295.6750000000002</v>
      </c>
      <c r="Y80" s="16">
        <v>38.681100000000001</v>
      </c>
      <c r="Z80" s="16">
        <v>43.490600000000001</v>
      </c>
      <c r="AA80" s="16">
        <v>42.953299999999999</v>
      </c>
      <c r="AB80" s="16">
        <v>106.203</v>
      </c>
      <c r="AC80" s="16"/>
      <c r="AD80" s="18">
        <f t="shared" si="23"/>
        <v>2.9500833333333334E-2</v>
      </c>
      <c r="AE80" s="22"/>
      <c r="AF80" s="22"/>
      <c r="AG80" s="22"/>
      <c r="AH80" s="19">
        <f t="shared" si="12"/>
        <v>0.35885089862241643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1209.9525000000001</v>
      </c>
      <c r="I81" s="13">
        <f t="shared" si="18"/>
        <v>41.262300000000003</v>
      </c>
      <c r="J81" s="13">
        <f t="shared" si="19"/>
        <v>1209.9525000000001</v>
      </c>
      <c r="K81" s="14">
        <f t="shared" si="20"/>
        <v>40.412399999999998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1209.9525000000001</v>
      </c>
      <c r="Y81" s="16">
        <v>34.9816</v>
      </c>
      <c r="Z81" s="16">
        <v>41.262300000000003</v>
      </c>
      <c r="AA81" s="16">
        <v>40.412399999999998</v>
      </c>
      <c r="AB81" s="16">
        <v>70.578000000000003</v>
      </c>
      <c r="AC81" s="16"/>
      <c r="AD81" s="18">
        <f t="shared" si="23"/>
        <v>1.9605000000000001E-2</v>
      </c>
      <c r="AE81" s="22"/>
      <c r="AF81" s="22"/>
      <c r="AG81" s="22"/>
      <c r="AH81" s="19">
        <f t="shared" si="12"/>
        <v>0.2892173535329528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598.41</v>
      </c>
      <c r="I82" s="24">
        <f t="shared" si="18"/>
        <v>39.217799999999997</v>
      </c>
      <c r="J82" s="24">
        <f t="shared" si="19"/>
        <v>598.41</v>
      </c>
      <c r="K82" s="25">
        <f t="shared" si="20"/>
        <v>37.746899999999997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598.41</v>
      </c>
      <c r="Y82" s="27">
        <v>31.6388</v>
      </c>
      <c r="Z82" s="27">
        <v>39.217799999999997</v>
      </c>
      <c r="AA82" s="27">
        <v>37.746899999999997</v>
      </c>
      <c r="AB82" s="27">
        <v>48.811999999999998</v>
      </c>
      <c r="AC82" s="27"/>
      <c r="AD82" s="26">
        <f t="shared" si="23"/>
        <v>1.3558888888888888E-2</v>
      </c>
      <c r="AE82" s="23"/>
      <c r="AF82" s="23"/>
      <c r="AG82" s="23"/>
      <c r="AH82" s="19">
        <f t="shared" si="12"/>
        <v>0.23889041149524293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1089.0525</v>
      </c>
      <c r="I83" s="32">
        <f t="shared" si="18"/>
        <v>48.296199999999999</v>
      </c>
      <c r="J83" s="32">
        <f t="shared" si="19"/>
        <v>1089.0525</v>
      </c>
      <c r="K83" s="33">
        <f t="shared" si="20"/>
        <v>48.533999999999999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1089.0525</v>
      </c>
      <c r="Y83" s="29">
        <v>49.542700000000004</v>
      </c>
      <c r="Z83" s="29">
        <v>48.296199999999999</v>
      </c>
      <c r="AA83" s="29">
        <v>48.533999999999999</v>
      </c>
      <c r="AB83" s="29">
        <v>64.5</v>
      </c>
      <c r="AC83" s="29"/>
      <c r="AD83" s="15">
        <f t="shared" si="23"/>
        <v>1.7916666666666668E-2</v>
      </c>
      <c r="AE83" s="19">
        <f>RBJM($P83:$Q86,X83:Y86)</f>
        <v>-39.668068668655877</v>
      </c>
      <c r="AF83" s="19">
        <f>RBJM($D83:$E86,H83:I86)</f>
        <v>-44.441940007748428</v>
      </c>
      <c r="AG83" s="19">
        <f>RBJM($F83:$G86,J83:K86)</f>
        <v>-47.065600665019616</v>
      </c>
      <c r="AH83" s="19">
        <f t="shared" si="12"/>
        <v>0.36840722420863842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735.87</v>
      </c>
      <c r="I84" s="34">
        <f t="shared" si="18"/>
        <v>44.5884</v>
      </c>
      <c r="J84" s="34">
        <f t="shared" si="19"/>
        <v>735.87</v>
      </c>
      <c r="K84" s="35">
        <f t="shared" si="20"/>
        <v>44.898800000000001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735.87</v>
      </c>
      <c r="Y84" s="16">
        <v>45.379399999999997</v>
      </c>
      <c r="Z84" s="16">
        <v>44.5884</v>
      </c>
      <c r="AA84" s="16">
        <v>44.898800000000001</v>
      </c>
      <c r="AB84" s="16">
        <v>53.515999999999998</v>
      </c>
      <c r="AC84" s="16"/>
      <c r="AD84" s="18">
        <f t="shared" si="23"/>
        <v>1.4865555555555555E-2</v>
      </c>
      <c r="AE84" s="22"/>
      <c r="AF84" s="22"/>
      <c r="AG84" s="22"/>
      <c r="AH84" s="19">
        <f t="shared" si="12"/>
        <v>0.30989993514314834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571.61249999999995</v>
      </c>
      <c r="I85" s="34">
        <f t="shared" si="18"/>
        <v>42.084800000000001</v>
      </c>
      <c r="J85" s="34">
        <f t="shared" si="19"/>
        <v>571.61249999999995</v>
      </c>
      <c r="K85" s="35">
        <f t="shared" si="20"/>
        <v>42.405099999999997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571.61249999999995</v>
      </c>
      <c r="Y85" s="16">
        <v>40.7879</v>
      </c>
      <c r="Z85" s="16">
        <v>42.084800000000001</v>
      </c>
      <c r="AA85" s="16">
        <v>42.405099999999997</v>
      </c>
      <c r="AB85" s="16">
        <v>45.109000000000002</v>
      </c>
      <c r="AC85" s="16"/>
      <c r="AD85" s="18">
        <f t="shared" si="23"/>
        <v>1.2530277777777779E-2</v>
      </c>
      <c r="AE85" s="22"/>
      <c r="AF85" s="22"/>
      <c r="AG85" s="22"/>
      <c r="AH85" s="19">
        <f t="shared" si="12"/>
        <v>0.26360262965668374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428.07749999999999</v>
      </c>
      <c r="I86" s="36">
        <f t="shared" si="18"/>
        <v>38.218499999999999</v>
      </c>
      <c r="J86" s="36">
        <f t="shared" si="19"/>
        <v>428.07749999999999</v>
      </c>
      <c r="K86" s="37">
        <f t="shared" si="20"/>
        <v>38.900700000000001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428.07749999999999</v>
      </c>
      <c r="Y86" s="27">
        <v>36.0762</v>
      </c>
      <c r="Z86" s="27">
        <v>38.218499999999999</v>
      </c>
      <c r="AA86" s="27">
        <v>38.900700000000001</v>
      </c>
      <c r="AB86" s="27">
        <v>40.405999999999999</v>
      </c>
      <c r="AC86" s="27"/>
      <c r="AD86" s="26">
        <f t="shared" si="23"/>
        <v>1.1223888888888889E-2</v>
      </c>
      <c r="AE86" s="23"/>
      <c r="AF86" s="23"/>
      <c r="AG86" s="23"/>
      <c r="AH86" s="19">
        <f t="shared" si="12"/>
        <v>0.23973135089915573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485.17500000000001</v>
      </c>
      <c r="I87" s="30">
        <f t="shared" si="18"/>
        <v>53.174300000000002</v>
      </c>
      <c r="J87" s="30">
        <f t="shared" si="19"/>
        <v>485.17500000000001</v>
      </c>
      <c r="K87" s="31">
        <f t="shared" si="20"/>
        <v>54.219000000000001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485.17500000000001</v>
      </c>
      <c r="Y87" s="29">
        <v>50.554200000000002</v>
      </c>
      <c r="Z87" s="29">
        <v>53.174300000000002</v>
      </c>
      <c r="AA87" s="29">
        <v>54.219000000000001</v>
      </c>
      <c r="AB87" s="29">
        <v>67.25</v>
      </c>
      <c r="AC87" s="29"/>
      <c r="AD87" s="15">
        <f t="shared" si="23"/>
        <v>1.8680555555555554E-2</v>
      </c>
      <c r="AE87" s="19">
        <f>RBJM($P87:$Q90,X87:Y90)</f>
        <v>-30.952457655195843</v>
      </c>
      <c r="AF87" s="19">
        <f>RBJM($D87:$E90,H87:I90)</f>
        <v>-38.63028030245448</v>
      </c>
      <c r="AG87" s="19">
        <f>RBJM($F87:$G90,J87:K90)</f>
        <v>-40.898106889316267</v>
      </c>
      <c r="AH87" s="19">
        <f t="shared" si="12"/>
        <v>0.27603899435608004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293.005</v>
      </c>
      <c r="I88" s="13">
        <f t="shared" si="18"/>
        <v>49.690300000000001</v>
      </c>
      <c r="J88" s="13">
        <f t="shared" si="19"/>
        <v>293.005</v>
      </c>
      <c r="K88" s="14">
        <f t="shared" si="20"/>
        <v>51.0167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293.005</v>
      </c>
      <c r="Y88" s="16">
        <v>46.4405</v>
      </c>
      <c r="Z88" s="16">
        <v>49.690300000000001</v>
      </c>
      <c r="AA88" s="16">
        <v>51.0167</v>
      </c>
      <c r="AB88" s="16">
        <v>46.828000000000003</v>
      </c>
      <c r="AC88" s="16"/>
      <c r="AD88" s="18">
        <f t="shared" si="23"/>
        <v>1.3007777777777778E-2</v>
      </c>
      <c r="AE88" s="22"/>
      <c r="AF88" s="22"/>
      <c r="AG88" s="22"/>
      <c r="AH88" s="19">
        <f t="shared" si="12"/>
        <v>0.19746901632362182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196.01499999999999</v>
      </c>
      <c r="I89" s="13">
        <f t="shared" si="18"/>
        <v>47.207099999999997</v>
      </c>
      <c r="J89" s="13">
        <f t="shared" si="19"/>
        <v>196.01499999999999</v>
      </c>
      <c r="K89" s="14">
        <f t="shared" si="20"/>
        <v>48.718200000000003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196.01499999999999</v>
      </c>
      <c r="Y89" s="16">
        <v>43.152000000000001</v>
      </c>
      <c r="Z89" s="16">
        <v>47.207099999999997</v>
      </c>
      <c r="AA89" s="16">
        <v>48.718200000000003</v>
      </c>
      <c r="AB89" s="16">
        <v>34.938000000000002</v>
      </c>
      <c r="AC89" s="16"/>
      <c r="AD89" s="18">
        <f t="shared" si="23"/>
        <v>9.7050000000000001E-3</v>
      </c>
      <c r="AE89" s="22"/>
      <c r="AF89" s="22"/>
      <c r="AG89" s="22"/>
      <c r="AH89" s="19">
        <f t="shared" si="12"/>
        <v>0.15493569844789359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137.785</v>
      </c>
      <c r="I90" s="38">
        <f t="shared" si="18"/>
        <v>44.717399999999998</v>
      </c>
      <c r="J90" s="38">
        <f t="shared" si="19"/>
        <v>137.785</v>
      </c>
      <c r="K90" s="39">
        <f t="shared" si="20"/>
        <v>46.392499999999998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137.785</v>
      </c>
      <c r="Y90" s="27">
        <v>39.426299999999998</v>
      </c>
      <c r="Z90" s="27">
        <v>44.717399999999998</v>
      </c>
      <c r="AA90" s="27">
        <v>46.392499999999998</v>
      </c>
      <c r="AB90" s="27">
        <v>28.562000000000001</v>
      </c>
      <c r="AC90" s="27"/>
      <c r="AD90" s="26">
        <f t="shared" si="23"/>
        <v>7.9338888888888896E-3</v>
      </c>
      <c r="AE90" s="23"/>
      <c r="AF90" s="23"/>
      <c r="AG90" s="23"/>
      <c r="AH90" s="76">
        <f t="shared" ref="AH90:AH106" si="24">AB90/T90</f>
        <v>0.13218374846120381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-20.711129260331795</v>
      </c>
      <c r="AF93" s="44">
        <f>AVERAGE(AF31,AF35,AF39,AF43)</f>
        <v>-21.891519825726881</v>
      </c>
      <c r="AG93" s="44">
        <f>AVERAGE(AG31,AG35,AG39,AG43)</f>
        <v>-23.084348532560973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-16.599782708433668</v>
      </c>
      <c r="AF94" s="44">
        <f>AVERAGE(AF47,AF55,AF51,AF59)</f>
        <v>-19.282760161615855</v>
      </c>
      <c r="AG94" s="44">
        <f>AVERAGE(AG47,AG55,AG51,AG59)</f>
        <v>-17.74473740393751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-28.14017827427762</v>
      </c>
      <c r="AF95" s="44">
        <f>AVERAGE(AF63,AF67,AF71)</f>
        <v>-39.056530850615331</v>
      </c>
      <c r="AG95" s="44">
        <f>AVERAGE(AG63,AG67,AG71)</f>
        <v>-37.797310326992516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-23.200674567744574</v>
      </c>
      <c r="AF96" s="44">
        <f t="shared" ref="AF96:AG96" si="25">AVERAGE(AF75,AF79,AF83,AF87)</f>
        <v>-32.808682454195292</v>
      </c>
      <c r="AG96" s="44">
        <f t="shared" si="25"/>
        <v>-31.133495236735975</v>
      </c>
    </row>
    <row r="97" spans="2:33">
      <c r="B97" s="69" t="s">
        <v>57</v>
      </c>
      <c r="C97" s="69"/>
      <c r="D97" s="70"/>
      <c r="E97" s="71"/>
      <c r="F97" s="72"/>
      <c r="G97" s="71"/>
      <c r="H97" s="71"/>
      <c r="I97" s="71"/>
      <c r="J97" s="71"/>
      <c r="K97" s="71"/>
      <c r="L97" s="71"/>
      <c r="M97" s="71"/>
      <c r="N97" s="71"/>
      <c r="O97" s="71"/>
      <c r="P97" s="69"/>
      <c r="Q97" s="69"/>
      <c r="R97" s="69"/>
      <c r="S97" s="69"/>
      <c r="T97" s="69"/>
      <c r="U97" s="69"/>
      <c r="V97" s="69"/>
      <c r="W97" s="73"/>
      <c r="X97" s="69"/>
      <c r="Y97" s="69"/>
      <c r="Z97" s="69"/>
      <c r="AA97" s="69"/>
      <c r="AB97" s="69"/>
      <c r="AC97" s="69"/>
      <c r="AD97" s="69"/>
      <c r="AE97" s="74" t="e">
        <f>AVERAGE(AE3,AE7,AE11,AE15,AE19,AE23,AE27,AE31,AE35,AE39,AE43,AE47,AE55,AE51,AE59,AE63,AE67,AE71)</f>
        <v>#VALUE!</v>
      </c>
      <c r="AF97" s="74" t="e">
        <f>AVERAGE(AF3,AF7,AF11,AF15,AF19,AF23,AF27,AF31,AF35,AF39,AF43,AF47,AF55,AF51,AF59,AF63,AF67,AF71)</f>
        <v>#VALUE!</v>
      </c>
      <c r="AG97" s="74" t="e">
        <f>AVERAGE(AG3,AG7,AG11,AG15,AG19,AG23,AG27,AG31,AG35,AG39,AG43,AG47,AG55,AG51,AG59,AG63,AG67,AG71)</f>
        <v>#VALUE!</v>
      </c>
    </row>
    <row r="98" spans="2:33">
      <c r="B98" s="69" t="s">
        <v>58</v>
      </c>
      <c r="C98" s="69"/>
      <c r="D98" s="70"/>
      <c r="E98" s="71"/>
      <c r="F98" s="72"/>
      <c r="G98" s="71"/>
      <c r="H98" s="71"/>
      <c r="I98" s="71"/>
      <c r="J98" s="71"/>
      <c r="K98" s="71"/>
      <c r="L98" s="71"/>
      <c r="M98" s="71"/>
      <c r="N98" s="71"/>
      <c r="O98" s="71"/>
      <c r="P98" s="69"/>
      <c r="Q98" s="69"/>
      <c r="R98" s="69"/>
      <c r="S98" s="69"/>
      <c r="T98" s="74"/>
      <c r="U98" s="74" t="e">
        <f>GEOMEAN(U3:U90)</f>
        <v>#NUM!</v>
      </c>
      <c r="V98" s="74" t="e">
        <f>GEOMEAN(V3:V90)</f>
        <v>#NUM!</v>
      </c>
      <c r="W98" s="74"/>
      <c r="X98" s="74"/>
      <c r="Y98" s="74"/>
      <c r="Z98" s="74"/>
      <c r="AA98" s="74"/>
      <c r="AB98" s="74"/>
      <c r="AC98" s="74" t="e">
        <f>GEOMEAN(AC3:AC74)</f>
        <v>#NUM!</v>
      </c>
      <c r="AD98" s="74" t="e">
        <f>GEOMEAN(AD3:AD74)</f>
        <v>#NUM!</v>
      </c>
      <c r="AE98" s="69"/>
      <c r="AF98" s="69"/>
      <c r="AG98" s="69"/>
    </row>
    <row r="99" spans="2:33">
      <c r="B99" s="69" t="s">
        <v>59</v>
      </c>
      <c r="C99" s="69"/>
      <c r="D99" s="70"/>
      <c r="E99" s="71"/>
      <c r="F99" s="72"/>
      <c r="G99" s="71"/>
      <c r="H99" s="71"/>
      <c r="I99" s="71"/>
      <c r="J99" s="71"/>
      <c r="K99" s="71"/>
      <c r="L99" s="71"/>
      <c r="M99" s="71"/>
      <c r="N99" s="71"/>
      <c r="O99" s="71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75"/>
      <c r="AC99" s="75" t="e">
        <f>AC98/U98</f>
        <v>#NUM!</v>
      </c>
      <c r="AD99" s="75" t="e">
        <f>AD98/V98</f>
        <v>#NUM!</v>
      </c>
      <c r="AE99" s="69"/>
      <c r="AF99" s="69"/>
      <c r="AG99" s="69"/>
    </row>
    <row r="100" spans="2:33">
      <c r="B100" s="69" t="s">
        <v>60</v>
      </c>
      <c r="C100" s="69"/>
      <c r="D100" s="70"/>
      <c r="E100" s="71"/>
      <c r="F100" s="72"/>
      <c r="G100" s="71"/>
      <c r="H100" s="71"/>
      <c r="I100" s="71"/>
      <c r="J100" s="71"/>
      <c r="K100" s="71"/>
      <c r="L100" s="71"/>
      <c r="M100" s="71"/>
      <c r="N100" s="71"/>
      <c r="O100" s="71"/>
      <c r="P100" s="69"/>
      <c r="Q100" s="69"/>
      <c r="R100" s="69"/>
      <c r="S100" s="69"/>
      <c r="T100" s="73"/>
      <c r="U100" s="73">
        <f>SUM(U3:U74)/3600</f>
        <v>0</v>
      </c>
      <c r="V100" s="73">
        <f>SUM(V3:V74)</f>
        <v>1.3925130555555554</v>
      </c>
      <c r="W100" s="69"/>
      <c r="X100" s="69"/>
      <c r="Y100" s="69"/>
      <c r="Z100" s="69"/>
      <c r="AA100" s="69"/>
      <c r="AB100" s="73"/>
      <c r="AC100" s="73">
        <f>SUM(AC3:AC74)/3600</f>
        <v>0</v>
      </c>
      <c r="AD100" s="73">
        <f>SUM(AD3:AD74)</f>
        <v>0.51597611111111119</v>
      </c>
      <c r="AE100" s="69"/>
      <c r="AF100" s="69"/>
      <c r="AG100" s="69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-21.764458731258205</v>
      </c>
      <c r="AF101" s="51">
        <f>AVERAGE(AF31,AF35,AF39,AF43,AF47,AF51,AF59,AF55,AF63,AF67,AF71,AF75,AF79,AF83,AF87)</f>
        <v>-27.540096154533209</v>
      </c>
      <c r="AG101" s="51">
        <f>AVERAGE(AG31,AG35,AG39,AG43,AG47,AG51,AG59,AG55,AG63,AG67,AG71,AG75,AG79,AG83,AG87)</f>
        <v>-26.749483711594362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9.8999784465883308E-3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0.33735694234261482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0.78325000000000011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71" priority="22" stopIfTrue="1" operator="between">
      <formula>-1</formula>
      <formula>1</formula>
    </cfRule>
    <cfRule type="cellIs" dxfId="70" priority="23" stopIfTrue="1" operator="lessThan">
      <formula>-3</formula>
    </cfRule>
    <cfRule type="cellIs" dxfId="69" priority="24" stopIfTrue="1" operator="greaterThan">
      <formula>3</formula>
    </cfRule>
  </conditionalFormatting>
  <conditionalFormatting sqref="AH3:AH6">
    <cfRule type="cellIs" dxfId="68" priority="19" stopIfTrue="1" operator="between">
      <formula>-1</formula>
      <formula>1</formula>
    </cfRule>
    <cfRule type="cellIs" dxfId="67" priority="20" stopIfTrue="1" operator="lessThan">
      <formula>-3</formula>
    </cfRule>
    <cfRule type="cellIs" dxfId="66" priority="21" stopIfTrue="1" operator="greaterThan">
      <formula>3</formula>
    </cfRule>
  </conditionalFormatting>
  <conditionalFormatting sqref="AH7:AH10">
    <cfRule type="cellIs" dxfId="65" priority="16" stopIfTrue="1" operator="between">
      <formula>-1</formula>
      <formula>1</formula>
    </cfRule>
    <cfRule type="cellIs" dxfId="64" priority="17" stopIfTrue="1" operator="lessThan">
      <formula>-3</formula>
    </cfRule>
    <cfRule type="cellIs" dxfId="63" priority="18" stopIfTrue="1" operator="greaterThan">
      <formula>3</formula>
    </cfRule>
  </conditionalFormatting>
  <conditionalFormatting sqref="AH11:AH74">
    <cfRule type="cellIs" dxfId="62" priority="13" stopIfTrue="1" operator="between">
      <formula>-1</formula>
      <formula>1</formula>
    </cfRule>
    <cfRule type="cellIs" dxfId="61" priority="14" stopIfTrue="1" operator="lessThan">
      <formula>-3</formula>
    </cfRule>
    <cfRule type="cellIs" dxfId="60" priority="15" stopIfTrue="1" operator="greaterThan">
      <formula>3</formula>
    </cfRule>
  </conditionalFormatting>
  <conditionalFormatting sqref="AE75:AG90">
    <cfRule type="cellIs" dxfId="59" priority="10" stopIfTrue="1" operator="between">
      <formula>-1</formula>
      <formula>1</formula>
    </cfRule>
    <cfRule type="cellIs" dxfId="58" priority="11" stopIfTrue="1" operator="lessThan">
      <formula>-3</formula>
    </cfRule>
    <cfRule type="cellIs" dxfId="57" priority="12" stopIfTrue="1" operator="greaterThan">
      <formula>3</formula>
    </cfRule>
  </conditionalFormatting>
  <conditionalFormatting sqref="AH75:AH90">
    <cfRule type="cellIs" dxfId="56" priority="7" stopIfTrue="1" operator="between">
      <formula>-1</formula>
      <formula>1</formula>
    </cfRule>
    <cfRule type="cellIs" dxfId="55" priority="8" stopIfTrue="1" operator="lessThan">
      <formula>-3</formula>
    </cfRule>
    <cfRule type="cellIs" dxfId="54" priority="9" stopIfTrue="1" operator="greaterThan">
      <formula>3</formula>
    </cfRule>
  </conditionalFormatting>
  <conditionalFormatting sqref="AE101:AG101">
    <cfRule type="cellIs" dxfId="53" priority="4" stopIfTrue="1" operator="between">
      <formula>-1</formula>
      <formula>1</formula>
    </cfRule>
    <cfRule type="cellIs" dxfId="52" priority="5" stopIfTrue="1" operator="lessThan">
      <formula>-3</formula>
    </cfRule>
    <cfRule type="cellIs" dxfId="51" priority="6" stopIfTrue="1" operator="greaterThan">
      <formula>3</formula>
    </cfRule>
  </conditionalFormatting>
  <conditionalFormatting sqref="AE96:AG96">
    <cfRule type="cellIs" dxfId="50" priority="1" stopIfTrue="1" operator="between">
      <formula>-1</formula>
      <formula>1</formula>
    </cfRule>
    <cfRule type="cellIs" dxfId="49" priority="2" stopIfTrue="1" operator="lessThan">
      <formula>-3</formula>
    </cfRule>
    <cfRule type="cellIs" dxfId="48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A6623-A71D-49C0-B783-CD6370DAFBF3}">
  <sheetPr codeName="Sheet5"/>
  <dimension ref="A1:AH104"/>
  <sheetViews>
    <sheetView topLeftCell="A67" workbookViewId="0">
      <selection activeCell="A96" sqref="A96:XFD96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62" t="s">
        <v>2</v>
      </c>
      <c r="M1" s="63"/>
      <c r="N1" s="63"/>
      <c r="O1" s="64"/>
      <c r="P1" s="65" t="s">
        <v>89</v>
      </c>
      <c r="Q1" s="66"/>
      <c r="R1" s="66"/>
      <c r="S1" s="66"/>
      <c r="T1" s="66"/>
      <c r="U1" s="66"/>
      <c r="V1" s="66"/>
      <c r="W1" s="66"/>
      <c r="X1" s="67" t="s">
        <v>88</v>
      </c>
      <c r="Y1" s="68"/>
      <c r="Z1" s="68"/>
      <c r="AA1" s="68"/>
      <c r="AB1" s="68"/>
      <c r="AC1" s="68"/>
      <c r="AD1" s="68"/>
      <c r="AE1" s="68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2834.5374999999999</v>
      </c>
      <c r="I31" s="32">
        <f t="shared" si="5"/>
        <v>43.865900000000003</v>
      </c>
      <c r="J31" s="32">
        <f t="shared" si="6"/>
        <v>2834.5374999999999</v>
      </c>
      <c r="K31" s="33">
        <f t="shared" si="7"/>
        <v>44.554099999999998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2834.5374999999999</v>
      </c>
      <c r="Y31" s="29">
        <v>41.133299999999998</v>
      </c>
      <c r="Z31" s="29">
        <v>43.865900000000003</v>
      </c>
      <c r="AA31" s="29">
        <v>44.554099999999998</v>
      </c>
      <c r="AB31" s="29">
        <v>23.859000000000002</v>
      </c>
      <c r="AC31" s="29"/>
      <c r="AD31" s="15">
        <f t="shared" si="10"/>
        <v>6.6275000000000006E-3</v>
      </c>
      <c r="AE31" s="19">
        <f>RBJM($P31:$Q34,X31:Y34)</f>
        <v>-18.375195289944035</v>
      </c>
      <c r="AF31" s="19">
        <f>RBJM($D31:$E34,H31:I34)</f>
        <v>-21.507930719093004</v>
      </c>
      <c r="AG31" s="19">
        <f>RBJM($F31:$G34,J31:K34)</f>
        <v>-22.223928973640394</v>
      </c>
      <c r="AH31" s="19">
        <f t="shared" si="12"/>
        <v>0.14468242513917021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1305.2625</v>
      </c>
      <c r="I32" s="34">
        <f t="shared" si="5"/>
        <v>41.441200000000002</v>
      </c>
      <c r="J32" s="34">
        <f t="shared" si="6"/>
        <v>1305.2625</v>
      </c>
      <c r="K32" s="35">
        <f t="shared" si="7"/>
        <v>41.61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1305.2625</v>
      </c>
      <c r="Y32" s="16">
        <v>37.972499999999997</v>
      </c>
      <c r="Z32" s="16">
        <v>41.441200000000002</v>
      </c>
      <c r="AA32" s="16">
        <v>41.61</v>
      </c>
      <c r="AB32" s="16">
        <v>16.562000000000001</v>
      </c>
      <c r="AC32" s="16"/>
      <c r="AD32" s="18">
        <f t="shared" si="10"/>
        <v>4.6005555555555556E-3</v>
      </c>
      <c r="AE32" s="22"/>
      <c r="AF32" s="22"/>
      <c r="AG32" s="22"/>
      <c r="AH32" s="19">
        <f t="shared" si="12"/>
        <v>0.12820076168065148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641.95000000000005</v>
      </c>
      <c r="I33" s="34">
        <f t="shared" si="5"/>
        <v>39.405999999999999</v>
      </c>
      <c r="J33" s="34">
        <f t="shared" si="6"/>
        <v>641.95000000000005</v>
      </c>
      <c r="K33" s="35">
        <f t="shared" si="7"/>
        <v>39.372900000000001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641.95000000000005</v>
      </c>
      <c r="Y33" s="16">
        <v>35.035600000000002</v>
      </c>
      <c r="Z33" s="16">
        <v>39.405999999999999</v>
      </c>
      <c r="AA33" s="16">
        <v>39.372900000000001</v>
      </c>
      <c r="AB33" s="16">
        <v>12.141</v>
      </c>
      <c r="AC33" s="16"/>
      <c r="AD33" s="18">
        <f t="shared" si="10"/>
        <v>3.3725000000000001E-3</v>
      </c>
      <c r="AE33" s="22"/>
      <c r="AF33" s="22"/>
      <c r="AG33" s="22"/>
      <c r="AH33" s="19">
        <f t="shared" si="12"/>
        <v>0.10843179808697051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330.1875</v>
      </c>
      <c r="I34" s="36">
        <f t="shared" si="5"/>
        <v>37.3538</v>
      </c>
      <c r="J34" s="36">
        <f t="shared" si="6"/>
        <v>330.1875</v>
      </c>
      <c r="K34" s="37">
        <f t="shared" si="7"/>
        <v>37.129199999999997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330.1875</v>
      </c>
      <c r="Y34" s="27">
        <v>32.493699999999997</v>
      </c>
      <c r="Z34" s="27">
        <v>37.3538</v>
      </c>
      <c r="AA34" s="27">
        <v>37.129199999999997</v>
      </c>
      <c r="AB34" s="27">
        <v>9.141</v>
      </c>
      <c r="AC34" s="27"/>
      <c r="AD34" s="26">
        <f t="shared" si="10"/>
        <v>2.5391666666666666E-3</v>
      </c>
      <c r="AE34" s="23"/>
      <c r="AF34" s="23"/>
      <c r="AG34" s="23"/>
      <c r="AH34" s="19">
        <f t="shared" si="12"/>
        <v>9.1754077791718944E-2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3819.21</v>
      </c>
      <c r="I35" s="32">
        <f t="shared" si="5"/>
        <v>43.5289</v>
      </c>
      <c r="J35" s="32">
        <f t="shared" si="6"/>
        <v>3819.21</v>
      </c>
      <c r="K35" s="33">
        <f t="shared" si="7"/>
        <v>44.942900000000002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3819.21</v>
      </c>
      <c r="Y35" s="29">
        <v>39.7761</v>
      </c>
      <c r="Z35" s="29">
        <v>43.5289</v>
      </c>
      <c r="AA35" s="29">
        <v>44.942900000000002</v>
      </c>
      <c r="AB35" s="29">
        <v>22.484000000000002</v>
      </c>
      <c r="AC35" s="29"/>
      <c r="AD35" s="15">
        <f t="shared" si="10"/>
        <v>6.2455555555555563E-3</v>
      </c>
      <c r="AE35" s="19">
        <f>RBJM($P35:$Q38,X35:Y38)</f>
        <v>-9.1790530617863908</v>
      </c>
      <c r="AF35" s="19">
        <f>RBJM($D35:$E38,H35:I38)</f>
        <v>-15.550914209888877</v>
      </c>
      <c r="AG35" s="19">
        <f>RBJM($F35:$G38,J35:K38)</f>
        <v>-11.516394859824587</v>
      </c>
      <c r="AH35" s="19">
        <f t="shared" si="12"/>
        <v>0.15406542504351164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1865.04</v>
      </c>
      <c r="I36" s="34">
        <f t="shared" si="5"/>
        <v>41.445700000000002</v>
      </c>
      <c r="J36" s="34">
        <f t="shared" si="6"/>
        <v>1865.04</v>
      </c>
      <c r="K36" s="35">
        <f t="shared" si="7"/>
        <v>42.359200000000001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1865.04</v>
      </c>
      <c r="Y36" s="16">
        <v>37.048099999999998</v>
      </c>
      <c r="Z36" s="16">
        <v>41.445700000000002</v>
      </c>
      <c r="AA36" s="16">
        <v>42.359200000000001</v>
      </c>
      <c r="AB36" s="16">
        <v>15.766</v>
      </c>
      <c r="AC36" s="16"/>
      <c r="AD36" s="18">
        <f t="shared" si="10"/>
        <v>4.3794444444444445E-3</v>
      </c>
      <c r="AE36" s="22"/>
      <c r="AF36" s="22"/>
      <c r="AG36" s="22"/>
      <c r="AH36" s="19">
        <f t="shared" si="12"/>
        <v>0.1361344247573654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961.755</v>
      </c>
      <c r="I37" s="34">
        <f t="shared" si="5"/>
        <v>39.491999999999997</v>
      </c>
      <c r="J37" s="34">
        <f t="shared" si="6"/>
        <v>961.755</v>
      </c>
      <c r="K37" s="35">
        <f t="shared" si="7"/>
        <v>40.026699999999998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961.755</v>
      </c>
      <c r="Y37" s="16">
        <v>34.092199999999998</v>
      </c>
      <c r="Z37" s="16">
        <v>39.491999999999997</v>
      </c>
      <c r="AA37" s="16">
        <v>40.026699999999998</v>
      </c>
      <c r="AB37" s="16">
        <v>11.577999999999999</v>
      </c>
      <c r="AC37" s="16"/>
      <c r="AD37" s="18">
        <f t="shared" si="10"/>
        <v>3.216111111111111E-3</v>
      </c>
      <c r="AE37" s="22"/>
      <c r="AF37" s="22"/>
      <c r="AG37" s="22"/>
      <c r="AH37" s="19">
        <f t="shared" si="12"/>
        <v>0.11581590292990827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502.57499999999999</v>
      </c>
      <c r="I38" s="36">
        <f t="shared" si="5"/>
        <v>37.741799999999998</v>
      </c>
      <c r="J38" s="36">
        <f t="shared" si="6"/>
        <v>502.57499999999999</v>
      </c>
      <c r="K38" s="37">
        <f t="shared" si="7"/>
        <v>38.215499999999999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502.57499999999999</v>
      </c>
      <c r="Y38" s="27">
        <v>31.134899999999998</v>
      </c>
      <c r="Z38" s="27">
        <v>37.741799999999998</v>
      </c>
      <c r="AA38" s="27">
        <v>38.215499999999999</v>
      </c>
      <c r="AB38" s="27">
        <v>9.0310000000000006</v>
      </c>
      <c r="AC38" s="27"/>
      <c r="AD38" s="26">
        <f t="shared" si="10"/>
        <v>2.5086111111111112E-3</v>
      </c>
      <c r="AE38" s="23"/>
      <c r="AF38" s="23"/>
      <c r="AG38" s="23"/>
      <c r="AH38" s="19">
        <f t="shared" si="12"/>
        <v>9.9945771865558503E-2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9133.5249999999996</v>
      </c>
      <c r="I39" s="32">
        <f t="shared" si="5"/>
        <v>41.214599999999997</v>
      </c>
      <c r="J39" s="32">
        <f t="shared" si="6"/>
        <v>9133.5249999999996</v>
      </c>
      <c r="K39" s="33">
        <f t="shared" si="7"/>
        <v>41.9069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9133.5249999999996</v>
      </c>
      <c r="Y39" s="29">
        <v>37.956899999999997</v>
      </c>
      <c r="Z39" s="29">
        <v>41.214599999999997</v>
      </c>
      <c r="AA39" s="29">
        <v>41.9069</v>
      </c>
      <c r="AB39" s="29">
        <v>38.359000000000002</v>
      </c>
      <c r="AC39" s="29"/>
      <c r="AD39" s="15">
        <f t="shared" si="10"/>
        <v>1.0655277777777777E-2</v>
      </c>
      <c r="AE39" s="19">
        <f>RBJM($P39:$Q42,X39:Y42)</f>
        <v>-6.8858502175763618</v>
      </c>
      <c r="AF39" s="19">
        <f>RBJM($D39:$E42,H39:I42)</f>
        <v>-5.7036396920229322</v>
      </c>
      <c r="AG39" s="19">
        <f>RBJM($F39:$G42,J39:K42)</f>
        <v>-8.7882585714324506</v>
      </c>
      <c r="AH39" s="19">
        <f t="shared" si="12"/>
        <v>0.18080563359037691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4277.6125000000002</v>
      </c>
      <c r="I40" s="34">
        <f t="shared" si="5"/>
        <v>38.455399999999997</v>
      </c>
      <c r="J40" s="34">
        <f t="shared" si="6"/>
        <v>4277.6125000000002</v>
      </c>
      <c r="K40" s="35">
        <f t="shared" si="7"/>
        <v>38.983800000000002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4277.6125000000002</v>
      </c>
      <c r="Y40" s="16">
        <v>33.990099999999998</v>
      </c>
      <c r="Z40" s="16">
        <v>38.455399999999997</v>
      </c>
      <c r="AA40" s="16">
        <v>38.983800000000002</v>
      </c>
      <c r="AB40" s="16">
        <v>28.952999999999999</v>
      </c>
      <c r="AC40" s="16"/>
      <c r="AD40" s="18">
        <f t="shared" si="10"/>
        <v>8.0424999999999993E-3</v>
      </c>
      <c r="AE40" s="22"/>
      <c r="AF40" s="22"/>
      <c r="AG40" s="22"/>
      <c r="AH40" s="19">
        <f t="shared" si="12"/>
        <v>0.18288569407246449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2023.05</v>
      </c>
      <c r="I41" s="34">
        <f t="shared" si="5"/>
        <v>36.428199999999997</v>
      </c>
      <c r="J41" s="34">
        <f t="shared" si="6"/>
        <v>2023.05</v>
      </c>
      <c r="K41" s="35">
        <f t="shared" si="7"/>
        <v>36.706899999999997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2023.05</v>
      </c>
      <c r="Y41" s="16">
        <v>30.6007</v>
      </c>
      <c r="Z41" s="16">
        <v>36.428199999999997</v>
      </c>
      <c r="AA41" s="16">
        <v>36.706899999999997</v>
      </c>
      <c r="AB41" s="16">
        <v>21.062000000000001</v>
      </c>
      <c r="AC41" s="16"/>
      <c r="AD41" s="18">
        <f t="shared" si="10"/>
        <v>5.8505555555555559E-3</v>
      </c>
      <c r="AE41" s="22"/>
      <c r="AF41" s="22"/>
      <c r="AG41" s="22"/>
      <c r="AH41" s="19">
        <f t="shared" si="12"/>
        <v>0.16476828237944738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938.9375</v>
      </c>
      <c r="I42" s="36">
        <f t="shared" si="5"/>
        <v>34.700099999999999</v>
      </c>
      <c r="J42" s="36">
        <f t="shared" si="6"/>
        <v>938.9375</v>
      </c>
      <c r="K42" s="37">
        <f t="shared" si="7"/>
        <v>34.805500000000002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938.9375</v>
      </c>
      <c r="Y42" s="27">
        <v>27.624400000000001</v>
      </c>
      <c r="Z42" s="27">
        <v>34.700099999999999</v>
      </c>
      <c r="AA42" s="27">
        <v>34.805500000000002</v>
      </c>
      <c r="AB42" s="27">
        <v>15.25</v>
      </c>
      <c r="AC42" s="27"/>
      <c r="AD42" s="26">
        <f t="shared" si="10"/>
        <v>4.2361111111111115E-3</v>
      </c>
      <c r="AE42" s="23"/>
      <c r="AF42" s="23"/>
      <c r="AG42" s="23"/>
      <c r="AH42" s="19">
        <f t="shared" si="12"/>
        <v>0.14493580056833844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4863.2624999999998</v>
      </c>
      <c r="I43" s="32">
        <f t="shared" si="5"/>
        <v>40.891399999999997</v>
      </c>
      <c r="J43" s="32">
        <f t="shared" si="6"/>
        <v>4863.2624999999998</v>
      </c>
      <c r="K43" s="33">
        <f t="shared" si="7"/>
        <v>41.968499999999999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4863.2624999999998</v>
      </c>
      <c r="Y43" s="29">
        <v>38.277700000000003</v>
      </c>
      <c r="Z43" s="29">
        <v>40.891399999999997</v>
      </c>
      <c r="AA43" s="29">
        <v>41.968499999999999</v>
      </c>
      <c r="AB43" s="29">
        <v>42.311999999999998</v>
      </c>
      <c r="AC43" s="29"/>
      <c r="AD43" s="15">
        <f t="shared" si="10"/>
        <v>1.1753333333333333E-2</v>
      </c>
      <c r="AE43" s="19">
        <f>RBJM($P43:$Q46,X43:Y46)</f>
        <v>-7.6200589501340783</v>
      </c>
      <c r="AF43" s="19">
        <f>RBJM($D43:$E46,H43:I46)</f>
        <v>7.6479519517981043</v>
      </c>
      <c r="AG43" s="19">
        <f>RBJM($F43:$G46,J43:K46)</f>
        <v>7.5834920533692562</v>
      </c>
      <c r="AH43" s="19">
        <f t="shared" si="12"/>
        <v>0.16223179915034583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2046.6375</v>
      </c>
      <c r="I44" s="34">
        <f t="shared" si="5"/>
        <v>38.433700000000002</v>
      </c>
      <c r="J44" s="34">
        <f t="shared" si="6"/>
        <v>2046.6375</v>
      </c>
      <c r="K44" s="35">
        <f t="shared" si="7"/>
        <v>39.5396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2046.6375</v>
      </c>
      <c r="Y44" s="16">
        <v>34.804200000000002</v>
      </c>
      <c r="Z44" s="16">
        <v>38.433700000000002</v>
      </c>
      <c r="AA44" s="16">
        <v>39.5396</v>
      </c>
      <c r="AB44" s="16">
        <v>28.875</v>
      </c>
      <c r="AC44" s="16"/>
      <c r="AD44" s="18">
        <f t="shared" si="10"/>
        <v>8.0208333333333329E-3</v>
      </c>
      <c r="AE44" s="22"/>
      <c r="AF44" s="22"/>
      <c r="AG44" s="22"/>
      <c r="AH44" s="19">
        <f t="shared" si="12"/>
        <v>0.14848124893941966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947.85</v>
      </c>
      <c r="I45" s="34">
        <f t="shared" si="5"/>
        <v>36.551299999999998</v>
      </c>
      <c r="J45" s="34">
        <f t="shared" si="6"/>
        <v>947.85</v>
      </c>
      <c r="K45" s="35">
        <f t="shared" si="7"/>
        <v>37.490900000000003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947.85</v>
      </c>
      <c r="Y45" s="16">
        <v>31.738700000000001</v>
      </c>
      <c r="Z45" s="16">
        <v>36.551299999999998</v>
      </c>
      <c r="AA45" s="16">
        <v>37.490900000000003</v>
      </c>
      <c r="AB45" s="16">
        <v>20.405999999999999</v>
      </c>
      <c r="AC45" s="16"/>
      <c r="AD45" s="18">
        <f t="shared" si="10"/>
        <v>5.6683333333333334E-3</v>
      </c>
      <c r="AE45" s="22"/>
      <c r="AF45" s="22"/>
      <c r="AG45" s="22"/>
      <c r="AH45" s="19">
        <f t="shared" si="12"/>
        <v>0.12709109253746215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438.18</v>
      </c>
      <c r="I46" s="36">
        <f t="shared" si="5"/>
        <v>35.146799999999999</v>
      </c>
      <c r="J46" s="36">
        <f t="shared" si="6"/>
        <v>438.18</v>
      </c>
      <c r="K46" s="37">
        <f t="shared" si="7"/>
        <v>35.873600000000003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438.18</v>
      </c>
      <c r="Y46" s="27">
        <v>28.931699999999999</v>
      </c>
      <c r="Z46" s="27">
        <v>35.146799999999999</v>
      </c>
      <c r="AA46" s="27">
        <v>35.873600000000003</v>
      </c>
      <c r="AB46" s="27">
        <v>14.938000000000001</v>
      </c>
      <c r="AC46" s="27"/>
      <c r="AD46" s="26">
        <f t="shared" si="10"/>
        <v>4.1494444444444443E-3</v>
      </c>
      <c r="AE46" s="23"/>
      <c r="AF46" s="23"/>
      <c r="AG46" s="23"/>
      <c r="AH46" s="19">
        <f t="shared" si="12"/>
        <v>0.11056258280351419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721.11249999999995</v>
      </c>
      <c r="I47" s="32">
        <f t="shared" si="5"/>
        <v>44.997599999999998</v>
      </c>
      <c r="J47" s="32">
        <f t="shared" si="6"/>
        <v>721.11249999999995</v>
      </c>
      <c r="K47" s="33">
        <f t="shared" si="7"/>
        <v>44.538200000000003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721.11249999999995</v>
      </c>
      <c r="Y47" s="29">
        <v>41.728000000000002</v>
      </c>
      <c r="Z47" s="29">
        <v>44.997599999999998</v>
      </c>
      <c r="AA47" s="29">
        <v>44.538200000000003</v>
      </c>
      <c r="AB47" s="29">
        <v>5.5309999999999997</v>
      </c>
      <c r="AC47" s="29"/>
      <c r="AD47" s="15">
        <f t="shared" si="10"/>
        <v>1.5363888888888888E-3</v>
      </c>
      <c r="AE47" s="19">
        <f>RBJM($P47:$Q50,X47:Y50)</f>
        <v>-7.9543284492948114</v>
      </c>
      <c r="AF47" s="19">
        <f>RBJM($D47:$E50,H47:I50)</f>
        <v>-9.8511744602032714</v>
      </c>
      <c r="AG47" s="19">
        <f>RBJM($F47:$G50,J47:K50)</f>
        <v>-3.5551560174373442</v>
      </c>
      <c r="AH47" s="19">
        <f t="shared" si="12"/>
        <v>0.18809086580969869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352.42500000000001</v>
      </c>
      <c r="I48" s="34">
        <f t="shared" si="5"/>
        <v>42.253300000000003</v>
      </c>
      <c r="J48" s="34">
        <f t="shared" si="6"/>
        <v>352.42500000000001</v>
      </c>
      <c r="K48" s="35">
        <f t="shared" si="7"/>
        <v>41.391300000000001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352.42500000000001</v>
      </c>
      <c r="Y48" s="16">
        <v>38.006999999999998</v>
      </c>
      <c r="Z48" s="16">
        <v>42.253300000000003</v>
      </c>
      <c r="AA48" s="16">
        <v>41.391300000000001</v>
      </c>
      <c r="AB48" s="16">
        <v>3.984</v>
      </c>
      <c r="AC48" s="16"/>
      <c r="AD48" s="18">
        <f t="shared" si="10"/>
        <v>1.1066666666666666E-3</v>
      </c>
      <c r="AE48" s="22"/>
      <c r="AF48" s="22"/>
      <c r="AG48" s="22"/>
      <c r="AH48" s="19">
        <f t="shared" si="12"/>
        <v>0.16281825983897993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174.17500000000001</v>
      </c>
      <c r="I49" s="34">
        <f t="shared" si="5"/>
        <v>39.808100000000003</v>
      </c>
      <c r="J49" s="34">
        <f t="shared" si="6"/>
        <v>174.17500000000001</v>
      </c>
      <c r="K49" s="35">
        <f t="shared" si="7"/>
        <v>38.630400000000002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174.17500000000001</v>
      </c>
      <c r="Y49" s="16">
        <v>34.643799999999999</v>
      </c>
      <c r="Z49" s="16">
        <v>39.808100000000003</v>
      </c>
      <c r="AA49" s="16">
        <v>38.630400000000002</v>
      </c>
      <c r="AB49" s="16">
        <v>2.9529999999999998</v>
      </c>
      <c r="AC49" s="16"/>
      <c r="AD49" s="18">
        <f t="shared" si="10"/>
        <v>8.2027777777777774E-4</v>
      </c>
      <c r="AE49" s="22"/>
      <c r="AF49" s="22"/>
      <c r="AG49" s="22"/>
      <c r="AH49" s="19">
        <f t="shared" si="12"/>
        <v>0.13547735926962426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92.075000000000003</v>
      </c>
      <c r="I50" s="36">
        <f t="shared" si="5"/>
        <v>37.691899999999997</v>
      </c>
      <c r="J50" s="36">
        <f t="shared" si="6"/>
        <v>92.075000000000003</v>
      </c>
      <c r="K50" s="37">
        <f t="shared" si="7"/>
        <v>36.598999999999997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92.075000000000003</v>
      </c>
      <c r="Y50" s="27">
        <v>31.773499999999999</v>
      </c>
      <c r="Z50" s="27">
        <v>37.691899999999997</v>
      </c>
      <c r="AA50" s="27">
        <v>36.598999999999997</v>
      </c>
      <c r="AB50" s="27">
        <v>2.3119999999999998</v>
      </c>
      <c r="AC50" s="27"/>
      <c r="AD50" s="26">
        <f t="shared" si="10"/>
        <v>6.422222222222222E-4</v>
      </c>
      <c r="AE50" s="23"/>
      <c r="AF50" s="23"/>
      <c r="AG50" s="23"/>
      <c r="AH50" s="19">
        <f t="shared" si="12"/>
        <v>0.1167853715209375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1556.0875000000001</v>
      </c>
      <c r="I51" s="30">
        <f t="shared" si="5"/>
        <v>41.266100000000002</v>
      </c>
      <c r="J51" s="30">
        <f t="shared" si="6"/>
        <v>1556.0875000000001</v>
      </c>
      <c r="K51" s="31">
        <f t="shared" si="7"/>
        <v>43.1267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1556.0875000000001</v>
      </c>
      <c r="Y51" s="29">
        <v>38.065199999999997</v>
      </c>
      <c r="Z51" s="29">
        <v>41.266100000000002</v>
      </c>
      <c r="AA51" s="29">
        <v>43.1267</v>
      </c>
      <c r="AB51" s="29">
        <v>9.5779999999999994</v>
      </c>
      <c r="AC51" s="29"/>
      <c r="AD51" s="15">
        <f t="shared" si="10"/>
        <v>2.6605555555555553E-3</v>
      </c>
      <c r="AE51" s="19">
        <f>RBJM($P51:$Q54,X51:Y54)</f>
        <v>-8.0812581491193072</v>
      </c>
      <c r="AF51" s="19">
        <f>RBJM($D51:$E54,H51:I54)</f>
        <v>0.64174612456950886</v>
      </c>
      <c r="AG51" s="19">
        <f>RBJM($F51:$G54,J51:K54)</f>
        <v>-2.0315550505484614</v>
      </c>
      <c r="AH51" s="19">
        <f t="shared" si="12"/>
        <v>0.20736987962241271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678.27499999999998</v>
      </c>
      <c r="I52" s="13">
        <f t="shared" si="5"/>
        <v>38.528700000000001</v>
      </c>
      <c r="J52" s="13">
        <f t="shared" si="6"/>
        <v>678.27499999999998</v>
      </c>
      <c r="K52" s="14">
        <f t="shared" si="7"/>
        <v>40.424500000000002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678.27499999999998</v>
      </c>
      <c r="Y52" s="16">
        <v>34.709200000000003</v>
      </c>
      <c r="Z52" s="16">
        <v>38.528700000000001</v>
      </c>
      <c r="AA52" s="16">
        <v>40.424500000000002</v>
      </c>
      <c r="AB52" s="16">
        <v>7.0309999999999997</v>
      </c>
      <c r="AC52" s="16"/>
      <c r="AD52" s="18">
        <f t="shared" si="10"/>
        <v>1.9530555555555555E-3</v>
      </c>
      <c r="AE52" s="22"/>
      <c r="AF52" s="22"/>
      <c r="AG52" s="22"/>
      <c r="AH52" s="19">
        <f t="shared" si="12"/>
        <v>0.20870933270007122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311.1875</v>
      </c>
      <c r="I53" s="13">
        <f t="shared" si="5"/>
        <v>36.4206</v>
      </c>
      <c r="J53" s="13">
        <f t="shared" si="6"/>
        <v>311.1875</v>
      </c>
      <c r="K53" s="14">
        <f t="shared" si="7"/>
        <v>38.2117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311.1875</v>
      </c>
      <c r="Y53" s="16">
        <v>31.756699999999999</v>
      </c>
      <c r="Z53" s="16">
        <v>36.4206</v>
      </c>
      <c r="AA53" s="16">
        <v>38.2117</v>
      </c>
      <c r="AB53" s="16">
        <v>4.25</v>
      </c>
      <c r="AC53" s="16"/>
      <c r="AD53" s="18">
        <f t="shared" si="10"/>
        <v>1.1805555555555556E-3</v>
      </c>
      <c r="AE53" s="22"/>
      <c r="AF53" s="22"/>
      <c r="AG53" s="22"/>
      <c r="AH53" s="19">
        <f t="shared" si="12"/>
        <v>0.1549850485012034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149.15</v>
      </c>
      <c r="I54" s="24">
        <f t="shared" si="5"/>
        <v>34.645499999999998</v>
      </c>
      <c r="J54" s="24">
        <f t="shared" si="6"/>
        <v>149.15</v>
      </c>
      <c r="K54" s="25">
        <f t="shared" si="7"/>
        <v>36.457700000000003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149.15</v>
      </c>
      <c r="Y54" s="27">
        <v>29.229800000000001</v>
      </c>
      <c r="Z54" s="27">
        <v>34.645499999999998</v>
      </c>
      <c r="AA54" s="27">
        <v>36.457700000000003</v>
      </c>
      <c r="AB54" s="27">
        <v>3.0619999999999998</v>
      </c>
      <c r="AC54" s="27"/>
      <c r="AD54" s="26">
        <f t="shared" si="10"/>
        <v>8.5055555555555546E-4</v>
      </c>
      <c r="AE54" s="23"/>
      <c r="AF54" s="23"/>
      <c r="AG54" s="23"/>
      <c r="AH54" s="19">
        <f t="shared" si="12"/>
        <v>0.13178961866230524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1418.865</v>
      </c>
      <c r="I55" s="32">
        <f t="shared" si="5"/>
        <v>44.645800000000001</v>
      </c>
      <c r="J55" s="32">
        <f t="shared" si="6"/>
        <v>1418.865</v>
      </c>
      <c r="K55" s="33">
        <f t="shared" si="7"/>
        <v>45.574300000000001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1418.865</v>
      </c>
      <c r="Y55" s="29">
        <v>38.603099999999998</v>
      </c>
      <c r="Z55" s="29">
        <v>44.645800000000001</v>
      </c>
      <c r="AA55" s="29">
        <v>45.574300000000001</v>
      </c>
      <c r="AB55" s="29">
        <v>7.0620000000000003</v>
      </c>
      <c r="AC55" s="29"/>
      <c r="AD55" s="15">
        <f t="shared" si="10"/>
        <v>1.9616666666666667E-3</v>
      </c>
      <c r="AE55" s="19">
        <f>RBJM($P55:$Q58,X55:Y58)</f>
        <v>-8.9761370203722439</v>
      </c>
      <c r="AF55" s="19">
        <f>RBJM($D55:$E58,H55:I58)</f>
        <v>-17.674580965118423</v>
      </c>
      <c r="AG55" s="19">
        <f>RBJM($F55:$G58,J55:K58)</f>
        <v>-17.857866956844461</v>
      </c>
      <c r="AH55" s="19">
        <f t="shared" si="12"/>
        <v>0.20007366065104687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652.35</v>
      </c>
      <c r="I56" s="34">
        <f t="shared" si="5"/>
        <v>42.197600000000001</v>
      </c>
      <c r="J56" s="34">
        <f t="shared" si="6"/>
        <v>652.35</v>
      </c>
      <c r="K56" s="35">
        <f t="shared" si="7"/>
        <v>42.940899999999999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652.35</v>
      </c>
      <c r="Y56" s="16">
        <v>35.196800000000003</v>
      </c>
      <c r="Z56" s="16">
        <v>42.197600000000001</v>
      </c>
      <c r="AA56" s="16">
        <v>42.940899999999999</v>
      </c>
      <c r="AB56" s="16">
        <v>5.4530000000000003</v>
      </c>
      <c r="AC56" s="16"/>
      <c r="AD56" s="18">
        <f t="shared" si="10"/>
        <v>1.5147222222222222E-3</v>
      </c>
      <c r="AE56" s="22"/>
      <c r="AF56" s="22"/>
      <c r="AG56" s="22"/>
      <c r="AH56" s="19">
        <f t="shared" si="12"/>
        <v>0.21332446600422503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328.755</v>
      </c>
      <c r="I57" s="34">
        <f t="shared" si="5"/>
        <v>40.3249</v>
      </c>
      <c r="J57" s="34">
        <f t="shared" si="6"/>
        <v>328.755</v>
      </c>
      <c r="K57" s="35">
        <f t="shared" si="7"/>
        <v>40.858800000000002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328.755</v>
      </c>
      <c r="Y57" s="16">
        <v>31.938400000000001</v>
      </c>
      <c r="Z57" s="16">
        <v>40.3249</v>
      </c>
      <c r="AA57" s="16">
        <v>40.858800000000002</v>
      </c>
      <c r="AB57" s="16">
        <v>3.6880000000000002</v>
      </c>
      <c r="AC57" s="16"/>
      <c r="AD57" s="18">
        <f t="shared" si="10"/>
        <v>1.0244444444444446E-3</v>
      </c>
      <c r="AE57" s="22"/>
      <c r="AF57" s="22"/>
      <c r="AG57" s="22"/>
      <c r="AH57" s="19">
        <f t="shared" si="12"/>
        <v>0.17278860569715143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188.26499999999999</v>
      </c>
      <c r="I58" s="36">
        <f t="shared" si="5"/>
        <v>38.617199999999997</v>
      </c>
      <c r="J58" s="36">
        <f t="shared" si="6"/>
        <v>188.26499999999999</v>
      </c>
      <c r="K58" s="37">
        <f t="shared" si="7"/>
        <v>39.058199999999999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188.26499999999999</v>
      </c>
      <c r="Y58" s="27">
        <v>29.191500000000001</v>
      </c>
      <c r="Z58" s="27">
        <v>38.617199999999997</v>
      </c>
      <c r="AA58" s="27">
        <v>39.058199999999999</v>
      </c>
      <c r="AB58" s="27">
        <v>2.7970000000000002</v>
      </c>
      <c r="AC58" s="27"/>
      <c r="AD58" s="26">
        <f t="shared" si="10"/>
        <v>7.7694444444444447E-4</v>
      </c>
      <c r="AE58" s="23"/>
      <c r="AF58" s="23"/>
      <c r="AG58" s="23"/>
      <c r="AH58" s="19">
        <f t="shared" si="12"/>
        <v>0.14541956951232193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1347.72</v>
      </c>
      <c r="I59" s="30">
        <f t="shared" si="5"/>
        <v>41.009399999999999</v>
      </c>
      <c r="J59" s="30">
        <f t="shared" si="6"/>
        <v>1347.72</v>
      </c>
      <c r="K59" s="31">
        <f t="shared" si="7"/>
        <v>41.493200000000002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1347.72</v>
      </c>
      <c r="Y59" s="29">
        <v>38.696599999999997</v>
      </c>
      <c r="Z59" s="29">
        <v>41.009399999999999</v>
      </c>
      <c r="AA59" s="29">
        <v>41.493200000000002</v>
      </c>
      <c r="AB59" s="29">
        <v>11.531000000000001</v>
      </c>
      <c r="AC59" s="29"/>
      <c r="AD59" s="15">
        <f t="shared" si="10"/>
        <v>3.2030555555555558E-3</v>
      </c>
      <c r="AE59" s="19">
        <f>RBJM($P59:$Q62,X59:Y62)</f>
        <v>-4.2732915145341828</v>
      </c>
      <c r="AF59" s="19">
        <f>RBJM($D59:$E62,H59:I62)</f>
        <v>11.360092837116431</v>
      </c>
      <c r="AG59" s="19">
        <f>RBJM($F59:$G62,J59:K62)</f>
        <v>14.744842180885009</v>
      </c>
      <c r="AH59" s="19">
        <f t="shared" si="12"/>
        <v>0.18816598945839658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635.73749999999995</v>
      </c>
      <c r="I60" s="13">
        <f t="shared" si="5"/>
        <v>38.133099999999999</v>
      </c>
      <c r="J60" s="13">
        <f t="shared" si="6"/>
        <v>635.73749999999995</v>
      </c>
      <c r="K60" s="14">
        <f t="shared" si="7"/>
        <v>38.421999999999997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635.73749999999995</v>
      </c>
      <c r="Y60" s="16">
        <v>34.6387</v>
      </c>
      <c r="Z60" s="16">
        <v>38.133099999999999</v>
      </c>
      <c r="AA60" s="16">
        <v>38.421999999999997</v>
      </c>
      <c r="AB60" s="16">
        <v>8.3439999999999994</v>
      </c>
      <c r="AC60" s="16"/>
      <c r="AD60" s="18">
        <f t="shared" si="10"/>
        <v>2.3177777777777775E-3</v>
      </c>
      <c r="AE60" s="22"/>
      <c r="AF60" s="22"/>
      <c r="AG60" s="22"/>
      <c r="AH60" s="19">
        <f t="shared" si="12"/>
        <v>0.17670852834664011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300.48</v>
      </c>
      <c r="I61" s="13">
        <f t="shared" si="5"/>
        <v>35.934399999999997</v>
      </c>
      <c r="J61" s="13">
        <f t="shared" si="6"/>
        <v>300.48</v>
      </c>
      <c r="K61" s="14">
        <f t="shared" si="7"/>
        <v>35.868299999999998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300.48</v>
      </c>
      <c r="Y61" s="16">
        <v>31.203900000000001</v>
      </c>
      <c r="Z61" s="16">
        <v>35.934399999999997</v>
      </c>
      <c r="AA61" s="16">
        <v>35.868299999999998</v>
      </c>
      <c r="AB61" s="16">
        <v>5.875</v>
      </c>
      <c r="AC61" s="16"/>
      <c r="AD61" s="18">
        <f t="shared" si="10"/>
        <v>1.6319444444444445E-3</v>
      </c>
      <c r="AE61" s="22"/>
      <c r="AF61" s="22"/>
      <c r="AG61" s="22"/>
      <c r="AH61" s="19">
        <f t="shared" si="12"/>
        <v>0.15179701831899334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147.23249999999999</v>
      </c>
      <c r="I62" s="38">
        <f t="shared" si="5"/>
        <v>34.463500000000003</v>
      </c>
      <c r="J62" s="38">
        <f t="shared" si="6"/>
        <v>147.23249999999999</v>
      </c>
      <c r="K62" s="39">
        <f t="shared" si="7"/>
        <v>34.145699999999998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147.23249999999999</v>
      </c>
      <c r="Y62" s="27">
        <v>28.400200000000002</v>
      </c>
      <c r="Z62" s="27">
        <v>34.463500000000003</v>
      </c>
      <c r="AA62" s="27">
        <v>34.145699999999998</v>
      </c>
      <c r="AB62" s="27">
        <v>4.2809999999999997</v>
      </c>
      <c r="AC62" s="27"/>
      <c r="AD62" s="26">
        <f t="shared" si="10"/>
        <v>1.1891666666666665E-3</v>
      </c>
      <c r="AE62" s="23"/>
      <c r="AF62" s="23"/>
      <c r="AG62" s="23"/>
      <c r="AH62" s="19">
        <f t="shared" si="12"/>
        <v>0.13404095434905128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2033.325</v>
      </c>
      <c r="I63" s="32">
        <f t="shared" si="5"/>
        <v>47.772399999999998</v>
      </c>
      <c r="J63" s="32">
        <f t="shared" si="6"/>
        <v>2033.325</v>
      </c>
      <c r="K63" s="33">
        <f t="shared" si="7"/>
        <v>49.163200000000003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2033.325</v>
      </c>
      <c r="Y63" s="29">
        <v>43.133499999999998</v>
      </c>
      <c r="Z63" s="29">
        <v>47.772399999999998</v>
      </c>
      <c r="AA63" s="29">
        <v>49.163200000000003</v>
      </c>
      <c r="AB63" s="29">
        <v>25.297000000000001</v>
      </c>
      <c r="AC63" s="29"/>
      <c r="AD63" s="15">
        <f t="shared" si="10"/>
        <v>7.026944444444445E-3</v>
      </c>
      <c r="AE63" s="19">
        <f>RBJM($P63:$Q66,X63:Y66)</f>
        <v>-20.225016060197497</v>
      </c>
      <c r="AF63" s="19">
        <f>RBJM($D63:$E66,H63:I66)</f>
        <v>-34.009411313470814</v>
      </c>
      <c r="AG63" s="19">
        <f>RBJM($F63:$G66,J63:K66)</f>
        <v>-31.043933952244974</v>
      </c>
      <c r="AH63" s="19">
        <f t="shared" si="12"/>
        <v>0.12374891156529141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1045.4100000000001</v>
      </c>
      <c r="I64" s="34">
        <f t="shared" si="5"/>
        <v>46.191600000000001</v>
      </c>
      <c r="J64" s="34">
        <f t="shared" si="6"/>
        <v>1045.4100000000001</v>
      </c>
      <c r="K64" s="35">
        <f t="shared" si="7"/>
        <v>47.322200000000002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1045.4100000000001</v>
      </c>
      <c r="Y64" s="16">
        <v>41.410699999999999</v>
      </c>
      <c r="Z64" s="16">
        <v>46.191600000000001</v>
      </c>
      <c r="AA64" s="16">
        <v>47.322200000000002</v>
      </c>
      <c r="AB64" s="16">
        <v>17.922000000000001</v>
      </c>
      <c r="AC64" s="16"/>
      <c r="AD64" s="18">
        <f t="shared" si="10"/>
        <v>4.9783333333333337E-3</v>
      </c>
      <c r="AE64" s="22"/>
      <c r="AF64" s="22"/>
      <c r="AG64" s="22"/>
      <c r="AH64" s="19">
        <f t="shared" si="12"/>
        <v>0.10018391087310151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597.63</v>
      </c>
      <c r="I65" s="34">
        <f t="shared" si="5"/>
        <v>44.411700000000003</v>
      </c>
      <c r="J65" s="34">
        <f t="shared" si="6"/>
        <v>597.63</v>
      </c>
      <c r="K65" s="35">
        <f t="shared" si="7"/>
        <v>45.456000000000003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597.63</v>
      </c>
      <c r="Y65" s="16">
        <v>39.003</v>
      </c>
      <c r="Z65" s="16">
        <v>44.411700000000003</v>
      </c>
      <c r="AA65" s="16">
        <v>45.456000000000003</v>
      </c>
      <c r="AB65" s="16">
        <v>13.984</v>
      </c>
      <c r="AC65" s="16"/>
      <c r="AD65" s="18">
        <f t="shared" si="10"/>
        <v>3.8844444444444443E-3</v>
      </c>
      <c r="AE65" s="22"/>
      <c r="AF65" s="22"/>
      <c r="AG65" s="22"/>
      <c r="AH65" s="19">
        <f t="shared" si="12"/>
        <v>8.2190653634338584E-2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354.9</v>
      </c>
      <c r="I66" s="36">
        <f t="shared" si="5"/>
        <v>41.971699999999998</v>
      </c>
      <c r="J66" s="36">
        <f t="shared" si="6"/>
        <v>354.9</v>
      </c>
      <c r="K66" s="37">
        <f t="shared" si="7"/>
        <v>43.19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354.9</v>
      </c>
      <c r="Y66" s="27">
        <v>36.268799999999999</v>
      </c>
      <c r="Z66" s="27">
        <v>41.971699999999998</v>
      </c>
      <c r="AA66" s="27">
        <v>43.19</v>
      </c>
      <c r="AB66" s="27">
        <v>11.952999999999999</v>
      </c>
      <c r="AC66" s="27"/>
      <c r="AD66" s="26">
        <f t="shared" si="10"/>
        <v>3.3202777777777775E-3</v>
      </c>
      <c r="AE66" s="23"/>
      <c r="AF66" s="23"/>
      <c r="AG66" s="23"/>
      <c r="AH66" s="19">
        <f t="shared" si="12"/>
        <v>7.2607441154138183E-2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1567.89</v>
      </c>
      <c r="I67" s="30">
        <f t="shared" ref="I67:I90" si="18">Z67</f>
        <v>48.927199999999999</v>
      </c>
      <c r="J67" s="30">
        <f t="shared" ref="J67:J90" si="19">X67</f>
        <v>1567.89</v>
      </c>
      <c r="K67" s="31">
        <f t="shared" ref="K67:K90" si="20">AA67</f>
        <v>49.612400000000001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1567.89</v>
      </c>
      <c r="Y67" s="29">
        <v>42.985300000000002</v>
      </c>
      <c r="Z67" s="29">
        <v>48.927199999999999</v>
      </c>
      <c r="AA67" s="29">
        <v>49.612400000000001</v>
      </c>
      <c r="AB67" s="29">
        <v>27.780999999999999</v>
      </c>
      <c r="AC67" s="29"/>
      <c r="AD67" s="15">
        <f t="shared" ref="AD67:AD90" si="23">AB67/3600</f>
        <v>7.7169444444444438E-3</v>
      </c>
      <c r="AE67" s="19">
        <f>RBJM($P67:$Q70,X67:Y70)</f>
        <v>-23.129375332104885</v>
      </c>
      <c r="AF67" s="19">
        <f>RBJM($D67:$E70,H67:I70)</f>
        <v>-35.032099293903244</v>
      </c>
      <c r="AG67" s="19">
        <f>RBJM($F67:$G70,J67:K70)</f>
        <v>-30.672410881236843</v>
      </c>
      <c r="AH67" s="19">
        <f t="shared" si="12"/>
        <v>0.13177092226838938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647.53499999999997</v>
      </c>
      <c r="I68" s="13">
        <f t="shared" si="18"/>
        <v>47.572800000000001</v>
      </c>
      <c r="J68" s="13">
        <f t="shared" si="19"/>
        <v>647.53499999999997</v>
      </c>
      <c r="K68" s="14">
        <f t="shared" si="20"/>
        <v>48.140900000000002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647.53499999999997</v>
      </c>
      <c r="Y68" s="16">
        <v>41.661700000000003</v>
      </c>
      <c r="Z68" s="16">
        <v>47.572800000000001</v>
      </c>
      <c r="AA68" s="16">
        <v>48.140900000000002</v>
      </c>
      <c r="AB68" s="16">
        <v>18.312000000000001</v>
      </c>
      <c r="AC68" s="16"/>
      <c r="AD68" s="18">
        <f t="shared" si="23"/>
        <v>5.0866666666666673E-3</v>
      </c>
      <c r="AE68" s="22"/>
      <c r="AF68" s="22"/>
      <c r="AG68" s="22"/>
      <c r="AH68" s="19">
        <f t="shared" si="12"/>
        <v>0.1028856526429342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339.51</v>
      </c>
      <c r="I69" s="13">
        <f t="shared" si="18"/>
        <v>45.994</v>
      </c>
      <c r="J69" s="13">
        <f t="shared" si="19"/>
        <v>339.51</v>
      </c>
      <c r="K69" s="14">
        <f t="shared" si="20"/>
        <v>46.1554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339.51</v>
      </c>
      <c r="Y69" s="16">
        <v>39.901000000000003</v>
      </c>
      <c r="Z69" s="16">
        <v>45.994</v>
      </c>
      <c r="AA69" s="16">
        <v>46.1554</v>
      </c>
      <c r="AB69" s="16">
        <v>13.891</v>
      </c>
      <c r="AC69" s="16"/>
      <c r="AD69" s="18">
        <f t="shared" si="23"/>
        <v>3.8586111111111113E-3</v>
      </c>
      <c r="AE69" s="22"/>
      <c r="AF69" s="22"/>
      <c r="AG69" s="22"/>
      <c r="AH69" s="19">
        <f t="shared" si="12"/>
        <v>8.2454338780428446E-2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195.88499999999999</v>
      </c>
      <c r="I70" s="24">
        <f t="shared" si="18"/>
        <v>43.502400000000002</v>
      </c>
      <c r="J70" s="24">
        <f t="shared" si="19"/>
        <v>195.88499999999999</v>
      </c>
      <c r="K70" s="25">
        <f t="shared" si="20"/>
        <v>44.067399999999999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195.88499999999999</v>
      </c>
      <c r="Y70" s="27">
        <v>37.719700000000003</v>
      </c>
      <c r="Z70" s="27">
        <v>43.502400000000002</v>
      </c>
      <c r="AA70" s="27">
        <v>44.067399999999999</v>
      </c>
      <c r="AB70" s="27">
        <v>11.891</v>
      </c>
      <c r="AC70" s="27"/>
      <c r="AD70" s="26">
        <f t="shared" si="23"/>
        <v>3.3030555555555556E-3</v>
      </c>
      <c r="AE70" s="23"/>
      <c r="AF70" s="23"/>
      <c r="AG70" s="23"/>
      <c r="AH70" s="19">
        <f t="shared" si="12"/>
        <v>7.3014079664003834E-2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1788.6</v>
      </c>
      <c r="I71" s="30">
        <f t="shared" si="18"/>
        <v>48.3245</v>
      </c>
      <c r="J71" s="30">
        <f t="shared" si="19"/>
        <v>1788.6</v>
      </c>
      <c r="K71" s="31">
        <f t="shared" si="20"/>
        <v>49.295999999999999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1788.6</v>
      </c>
      <c r="Y71" s="29">
        <v>43.486400000000003</v>
      </c>
      <c r="Z71" s="29">
        <v>48.3245</v>
      </c>
      <c r="AA71" s="29">
        <v>49.295999999999999</v>
      </c>
      <c r="AB71" s="29">
        <v>25.452999999999999</v>
      </c>
      <c r="AC71" s="29"/>
      <c r="AD71" s="15">
        <f t="shared" si="23"/>
        <v>7.0702777777777778E-3</v>
      </c>
      <c r="AE71" s="19">
        <f>RBJM($P71:$Q74,X71:Y74)</f>
        <v>-22.430066414585081</v>
      </c>
      <c r="AF71" s="19">
        <f>RBJM($D71:$E74,H71:I74)</f>
        <v>-33.930053858901374</v>
      </c>
      <c r="AG71" s="19">
        <f>RBJM($F71:$G74,J71:K74)</f>
        <v>-33.553945307456786</v>
      </c>
      <c r="AH71" s="19">
        <f t="shared" si="12"/>
        <v>0.11701667923279208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825.3</v>
      </c>
      <c r="I72" s="13">
        <f t="shared" si="18"/>
        <v>46.737200000000001</v>
      </c>
      <c r="J72" s="13">
        <f t="shared" si="19"/>
        <v>825.3</v>
      </c>
      <c r="K72" s="14">
        <f t="shared" si="20"/>
        <v>47.665300000000002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825.3</v>
      </c>
      <c r="Y72" s="16">
        <v>41.814399999999999</v>
      </c>
      <c r="Z72" s="16">
        <v>46.737200000000001</v>
      </c>
      <c r="AA72" s="16">
        <v>47.665300000000002</v>
      </c>
      <c r="AB72" s="16">
        <v>17.719000000000001</v>
      </c>
      <c r="AC72" s="16"/>
      <c r="AD72" s="18">
        <f t="shared" si="23"/>
        <v>4.9219444444444449E-3</v>
      </c>
      <c r="AE72" s="22"/>
      <c r="AF72" s="22"/>
      <c r="AG72" s="22"/>
      <c r="AH72" s="19">
        <f t="shared" si="12"/>
        <v>9.3173548156405786E-2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439.11</v>
      </c>
      <c r="I73" s="13">
        <f t="shared" si="18"/>
        <v>45.092199999999998</v>
      </c>
      <c r="J73" s="13">
        <f t="shared" si="19"/>
        <v>439.11</v>
      </c>
      <c r="K73" s="14">
        <f t="shared" si="20"/>
        <v>45.934699999999999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439.11</v>
      </c>
      <c r="Y73" s="16">
        <v>39.677599999999998</v>
      </c>
      <c r="Z73" s="16">
        <v>45.092199999999998</v>
      </c>
      <c r="AA73" s="16">
        <v>45.934699999999999</v>
      </c>
      <c r="AB73" s="16">
        <v>13.718999999999999</v>
      </c>
      <c r="AC73" s="16"/>
      <c r="AD73" s="18">
        <f t="shared" si="23"/>
        <v>3.8108333333333332E-3</v>
      </c>
      <c r="AE73" s="22"/>
      <c r="AF73" s="22"/>
      <c r="AG73" s="22"/>
      <c r="AH73" s="19">
        <f t="shared" si="12"/>
        <v>7.7140640111558439E-2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252.6</v>
      </c>
      <c r="I74" s="38">
        <f t="shared" si="18"/>
        <v>42.773299999999999</v>
      </c>
      <c r="J74" s="38">
        <f t="shared" si="19"/>
        <v>252.6</v>
      </c>
      <c r="K74" s="39">
        <f t="shared" si="20"/>
        <v>43.831099999999999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252.6</v>
      </c>
      <c r="Y74" s="27">
        <v>37.320900000000002</v>
      </c>
      <c r="Z74" s="27">
        <v>42.773299999999999</v>
      </c>
      <c r="AA74" s="27">
        <v>43.831099999999999</v>
      </c>
      <c r="AB74" s="27">
        <v>11.734</v>
      </c>
      <c r="AC74" s="27"/>
      <c r="AD74" s="26">
        <f t="shared" si="23"/>
        <v>3.2594444444444446E-3</v>
      </c>
      <c r="AE74" s="23"/>
      <c r="AF74" s="23"/>
      <c r="AG74" s="23"/>
      <c r="AH74" s="19">
        <f t="shared" si="12"/>
        <v>6.8827573262006989E-2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2806.8375000000001</v>
      </c>
      <c r="I75" s="32">
        <f t="shared" si="18"/>
        <v>43.917499999999997</v>
      </c>
      <c r="J75" s="32">
        <f t="shared" si="19"/>
        <v>2806.8375000000001</v>
      </c>
      <c r="K75" s="33">
        <f t="shared" si="20"/>
        <v>44.603999999999999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2806.8375000000001</v>
      </c>
      <c r="Y75" s="29">
        <v>41.409300000000002</v>
      </c>
      <c r="Z75" s="29">
        <v>43.917499999999997</v>
      </c>
      <c r="AA75" s="29">
        <v>44.603999999999999</v>
      </c>
      <c r="AB75" s="29">
        <v>23.077999999999999</v>
      </c>
      <c r="AC75" s="29"/>
      <c r="AD75" s="15">
        <f t="shared" si="23"/>
        <v>6.4105555555555556E-3</v>
      </c>
      <c r="AE75" s="19">
        <f>RBJM($P75:$Q78,X75:Y78)</f>
        <v>-16.721393772880809</v>
      </c>
      <c r="AF75" s="19">
        <f>RBJM($D75:$E78,H75:I78)</f>
        <v>-17.195120394539732</v>
      </c>
      <c r="AG75" s="19">
        <f>RBJM($F75:$G78,J75:K78)</f>
        <v>-17.050146731911862</v>
      </c>
      <c r="AH75" s="19">
        <f t="shared" si="12"/>
        <v>0.14576069930776614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1323.675</v>
      </c>
      <c r="I76" s="34">
        <f t="shared" si="18"/>
        <v>41.223399999999998</v>
      </c>
      <c r="J76" s="34">
        <f t="shared" si="19"/>
        <v>1323.675</v>
      </c>
      <c r="K76" s="35">
        <f t="shared" si="20"/>
        <v>41.532600000000002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1323.675</v>
      </c>
      <c r="Y76" s="16">
        <v>38.217100000000002</v>
      </c>
      <c r="Z76" s="16">
        <v>41.223399999999998</v>
      </c>
      <c r="AA76" s="16">
        <v>41.532600000000002</v>
      </c>
      <c r="AB76" s="16">
        <v>15.952999999999999</v>
      </c>
      <c r="AC76" s="16"/>
      <c r="AD76" s="18">
        <f t="shared" si="23"/>
        <v>4.4313888888888884E-3</v>
      </c>
      <c r="AE76" s="22"/>
      <c r="AF76" s="22"/>
      <c r="AG76" s="22"/>
      <c r="AH76" s="19">
        <f t="shared" si="12"/>
        <v>0.12620445232030125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666.36249999999995</v>
      </c>
      <c r="I77" s="34">
        <f t="shared" si="18"/>
        <v>39.0991</v>
      </c>
      <c r="J77" s="34">
        <f t="shared" si="19"/>
        <v>666.36249999999995</v>
      </c>
      <c r="K77" s="35">
        <f t="shared" si="20"/>
        <v>39.1997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666.36249999999995</v>
      </c>
      <c r="Y77" s="16">
        <v>35.222099999999998</v>
      </c>
      <c r="Z77" s="16">
        <v>39.0991</v>
      </c>
      <c r="AA77" s="16">
        <v>39.1997</v>
      </c>
      <c r="AB77" s="16">
        <v>11.672000000000001</v>
      </c>
      <c r="AC77" s="16"/>
      <c r="AD77" s="18">
        <f t="shared" si="23"/>
        <v>3.2422222222222223E-3</v>
      </c>
      <c r="AE77" s="22"/>
      <c r="AF77" s="22"/>
      <c r="AG77" s="22"/>
      <c r="AH77" s="19">
        <f t="shared" si="12"/>
        <v>0.10798009140192796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350.38749999999999</v>
      </c>
      <c r="I78" s="36">
        <f t="shared" si="18"/>
        <v>37.008600000000001</v>
      </c>
      <c r="J78" s="36">
        <f t="shared" si="19"/>
        <v>350.38749999999999</v>
      </c>
      <c r="K78" s="37">
        <f t="shared" si="20"/>
        <v>36.857100000000003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350.38749999999999</v>
      </c>
      <c r="Y78" s="27">
        <v>32.578699999999998</v>
      </c>
      <c r="Z78" s="27">
        <v>37.008600000000001</v>
      </c>
      <c r="AA78" s="27">
        <v>36.857100000000003</v>
      </c>
      <c r="AB78" s="27">
        <v>8.8279999999999994</v>
      </c>
      <c r="AC78" s="27"/>
      <c r="AD78" s="26">
        <f t="shared" si="23"/>
        <v>2.452222222222222E-3</v>
      </c>
      <c r="AE78" s="23"/>
      <c r="AF78" s="23"/>
      <c r="AG78" s="23"/>
      <c r="AH78" s="19">
        <f t="shared" si="12"/>
        <v>9.1749030856691505E-2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5077.8074999999999</v>
      </c>
      <c r="I79" s="30">
        <f t="shared" si="18"/>
        <v>46.018599999999999</v>
      </c>
      <c r="J79" s="30">
        <f t="shared" si="19"/>
        <v>5077.8074999999999</v>
      </c>
      <c r="K79" s="31">
        <f t="shared" si="20"/>
        <v>45.900799999999997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5077.8074999999999</v>
      </c>
      <c r="Y79" s="29">
        <v>42.656100000000002</v>
      </c>
      <c r="Z79" s="29">
        <v>46.018599999999999</v>
      </c>
      <c r="AA79" s="29">
        <v>45.900799999999997</v>
      </c>
      <c r="AB79" s="29">
        <v>49.438000000000002</v>
      </c>
      <c r="AC79" s="29"/>
      <c r="AD79" s="15">
        <f t="shared" si="23"/>
        <v>1.3732777777777778E-2</v>
      </c>
      <c r="AE79" s="19">
        <f>RBJM($P79:$Q82,X79:Y82)</f>
        <v>21.166145024413318</v>
      </c>
      <c r="AF79" s="19">
        <f>RBJM($D79:$E82,H79:I82)</f>
        <v>-3.412508039629647</v>
      </c>
      <c r="AG79" s="19">
        <f>RBJM($F79:$G82,J79:K82)</f>
        <v>12.705898634954726</v>
      </c>
      <c r="AH79" s="19">
        <f t="shared" si="12"/>
        <v>0.13445638693675074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2566.23</v>
      </c>
      <c r="I80" s="13">
        <f t="shared" si="18"/>
        <v>43.2316</v>
      </c>
      <c r="J80" s="13">
        <f t="shared" si="19"/>
        <v>2566.23</v>
      </c>
      <c r="K80" s="14">
        <f t="shared" si="20"/>
        <v>42.682699999999997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2566.23</v>
      </c>
      <c r="Y80" s="16">
        <v>38.3568</v>
      </c>
      <c r="Z80" s="16">
        <v>43.2316</v>
      </c>
      <c r="AA80" s="16">
        <v>42.682699999999997</v>
      </c>
      <c r="AB80" s="16">
        <v>34.421999999999997</v>
      </c>
      <c r="AC80" s="16"/>
      <c r="AD80" s="18">
        <f t="shared" si="23"/>
        <v>9.5616666666666662E-3</v>
      </c>
      <c r="AE80" s="22"/>
      <c r="AF80" s="22"/>
      <c r="AG80" s="22"/>
      <c r="AH80" s="19">
        <f t="shared" si="12"/>
        <v>0.11630900852500228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1317.99</v>
      </c>
      <c r="I81" s="13">
        <f t="shared" si="18"/>
        <v>41.055199999999999</v>
      </c>
      <c r="J81" s="13">
        <f t="shared" si="19"/>
        <v>1317.99</v>
      </c>
      <c r="K81" s="14">
        <f t="shared" si="20"/>
        <v>40.141500000000001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1317.99</v>
      </c>
      <c r="Y81" s="16">
        <v>34.692799999999998</v>
      </c>
      <c r="Z81" s="16">
        <v>41.055199999999999</v>
      </c>
      <c r="AA81" s="16">
        <v>40.141500000000001</v>
      </c>
      <c r="AB81" s="16">
        <v>24.702999999999999</v>
      </c>
      <c r="AC81" s="16"/>
      <c r="AD81" s="18">
        <f t="shared" si="23"/>
        <v>6.861944444444444E-3</v>
      </c>
      <c r="AE81" s="22"/>
      <c r="AF81" s="22"/>
      <c r="AG81" s="22"/>
      <c r="AH81" s="19">
        <f t="shared" si="12"/>
        <v>0.10122894222455343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647.42999999999995</v>
      </c>
      <c r="I82" s="24">
        <f t="shared" si="18"/>
        <v>38.870899999999999</v>
      </c>
      <c r="J82" s="24">
        <f t="shared" si="19"/>
        <v>647.42999999999995</v>
      </c>
      <c r="K82" s="25">
        <f t="shared" si="20"/>
        <v>37.574399999999997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647.42999999999995</v>
      </c>
      <c r="Y82" s="27">
        <v>31.421399999999998</v>
      </c>
      <c r="Z82" s="27">
        <v>38.870899999999999</v>
      </c>
      <c r="AA82" s="27">
        <v>37.574399999999997</v>
      </c>
      <c r="AB82" s="27">
        <v>18.25</v>
      </c>
      <c r="AC82" s="27"/>
      <c r="AD82" s="26">
        <f t="shared" si="23"/>
        <v>5.0694444444444441E-3</v>
      </c>
      <c r="AE82" s="23"/>
      <c r="AF82" s="23"/>
      <c r="AG82" s="23"/>
      <c r="AH82" s="19">
        <f t="shared" si="12"/>
        <v>8.9317176304764892E-2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1144.74</v>
      </c>
      <c r="I83" s="32">
        <f t="shared" si="18"/>
        <v>47.589300000000001</v>
      </c>
      <c r="J83" s="32">
        <f t="shared" si="19"/>
        <v>1144.74</v>
      </c>
      <c r="K83" s="33">
        <f t="shared" si="20"/>
        <v>47.625300000000003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1144.74</v>
      </c>
      <c r="Y83" s="29">
        <v>49.111800000000002</v>
      </c>
      <c r="Z83" s="29">
        <v>47.589300000000001</v>
      </c>
      <c r="AA83" s="29">
        <v>47.625300000000003</v>
      </c>
      <c r="AB83" s="29">
        <v>21.937999999999999</v>
      </c>
      <c r="AC83" s="29"/>
      <c r="AD83" s="15">
        <f t="shared" si="23"/>
        <v>6.0938888888888883E-3</v>
      </c>
      <c r="AE83" s="19">
        <f>RBJM($P83:$Q86,X83:Y86)</f>
        <v>-34.095333544746111</v>
      </c>
      <c r="AF83" s="19">
        <f>RBJM($D83:$E86,H83:I86)</f>
        <v>-39.746152590331448</v>
      </c>
      <c r="AG83" s="19">
        <f>RBJM($F83:$G86,J83:K86)</f>
        <v>-41.536769086299451</v>
      </c>
      <c r="AH83" s="19">
        <f t="shared" si="12"/>
        <v>0.12530415015021876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804.41250000000002</v>
      </c>
      <c r="I84" s="34">
        <f t="shared" si="18"/>
        <v>43.887099999999997</v>
      </c>
      <c r="J84" s="34">
        <f t="shared" si="19"/>
        <v>804.41250000000002</v>
      </c>
      <c r="K84" s="35">
        <f t="shared" si="20"/>
        <v>44.050199999999997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804.41250000000002</v>
      </c>
      <c r="Y84" s="16">
        <v>44.814799999999998</v>
      </c>
      <c r="Z84" s="16">
        <v>43.887099999999997</v>
      </c>
      <c r="AA84" s="16">
        <v>44.050199999999997</v>
      </c>
      <c r="AB84" s="16">
        <v>19.327999999999999</v>
      </c>
      <c r="AC84" s="16"/>
      <c r="AD84" s="18">
        <f t="shared" si="23"/>
        <v>5.3688888888888883E-3</v>
      </c>
      <c r="AE84" s="22"/>
      <c r="AF84" s="22"/>
      <c r="AG84" s="22"/>
      <c r="AH84" s="19">
        <f t="shared" si="12"/>
        <v>0.11192439544148985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576.15750000000003</v>
      </c>
      <c r="I85" s="34">
        <f t="shared" si="18"/>
        <v>41.899000000000001</v>
      </c>
      <c r="J85" s="34">
        <f t="shared" si="19"/>
        <v>576.15750000000003</v>
      </c>
      <c r="K85" s="35">
        <f t="shared" si="20"/>
        <v>42.066899999999997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576.15750000000003</v>
      </c>
      <c r="Y85" s="16">
        <v>39.894599999999997</v>
      </c>
      <c r="Z85" s="16">
        <v>41.899000000000001</v>
      </c>
      <c r="AA85" s="16">
        <v>42.066899999999997</v>
      </c>
      <c r="AB85" s="16">
        <v>17.202999999999999</v>
      </c>
      <c r="AC85" s="16"/>
      <c r="AD85" s="18">
        <f t="shared" si="23"/>
        <v>4.7786111111111111E-3</v>
      </c>
      <c r="AE85" s="22"/>
      <c r="AF85" s="22"/>
      <c r="AG85" s="22"/>
      <c r="AH85" s="19">
        <f t="shared" si="12"/>
        <v>0.10052885317750182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427.48500000000001</v>
      </c>
      <c r="I86" s="36">
        <f t="shared" si="18"/>
        <v>37.813600000000001</v>
      </c>
      <c r="J86" s="36">
        <f t="shared" si="19"/>
        <v>427.48500000000001</v>
      </c>
      <c r="K86" s="37">
        <f t="shared" si="20"/>
        <v>38.564700000000002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427.48500000000001</v>
      </c>
      <c r="Y86" s="27">
        <v>35.011499999999998</v>
      </c>
      <c r="Z86" s="27">
        <v>37.813600000000001</v>
      </c>
      <c r="AA86" s="27">
        <v>38.564700000000002</v>
      </c>
      <c r="AB86" s="27">
        <v>16.155999999999999</v>
      </c>
      <c r="AC86" s="27"/>
      <c r="AD86" s="26">
        <f t="shared" si="23"/>
        <v>4.4877777777777772E-3</v>
      </c>
      <c r="AE86" s="23"/>
      <c r="AF86" s="23"/>
      <c r="AG86" s="23"/>
      <c r="AH86" s="19">
        <f t="shared" si="12"/>
        <v>9.5854568755302669E-2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525.41499999999996</v>
      </c>
      <c r="I87" s="30">
        <f t="shared" si="18"/>
        <v>52.512900000000002</v>
      </c>
      <c r="J87" s="30">
        <f t="shared" si="19"/>
        <v>525.41499999999996</v>
      </c>
      <c r="K87" s="31">
        <f t="shared" si="20"/>
        <v>53.523099999999999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525.41499999999996</v>
      </c>
      <c r="Y87" s="29">
        <v>50.088200000000001</v>
      </c>
      <c r="Z87" s="29">
        <v>52.512900000000002</v>
      </c>
      <c r="AA87" s="29">
        <v>53.523099999999999</v>
      </c>
      <c r="AB87" s="29">
        <v>23.875</v>
      </c>
      <c r="AC87" s="29"/>
      <c r="AD87" s="15">
        <f t="shared" si="23"/>
        <v>6.6319444444444446E-3</v>
      </c>
      <c r="AE87" s="19">
        <f>RBJM($P87:$Q90,X87:Y90)</f>
        <v>-23.631319053792211</v>
      </c>
      <c r="AF87" s="19">
        <f>RBJM($D87:$E90,H87:I90)</f>
        <v>-31.063079698887819</v>
      </c>
      <c r="AG87" s="19">
        <f>RBJM($F87:$G90,J87:K90)</f>
        <v>-28.522256867990613</v>
      </c>
      <c r="AH87" s="19">
        <f t="shared" si="12"/>
        <v>9.7998973832734732E-2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308.26</v>
      </c>
      <c r="I88" s="13">
        <f t="shared" si="18"/>
        <v>49.390900000000002</v>
      </c>
      <c r="J88" s="13">
        <f t="shared" si="19"/>
        <v>308.26</v>
      </c>
      <c r="K88" s="14">
        <f t="shared" si="20"/>
        <v>50.203200000000002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308.26</v>
      </c>
      <c r="Y88" s="16">
        <v>46.142000000000003</v>
      </c>
      <c r="Z88" s="16">
        <v>49.390900000000002</v>
      </c>
      <c r="AA88" s="16">
        <v>50.203200000000002</v>
      </c>
      <c r="AB88" s="16">
        <v>18.625</v>
      </c>
      <c r="AC88" s="16"/>
      <c r="AD88" s="18">
        <f t="shared" si="23"/>
        <v>5.1736111111111115E-3</v>
      </c>
      <c r="AE88" s="22"/>
      <c r="AF88" s="22"/>
      <c r="AG88" s="22"/>
      <c r="AH88" s="19">
        <f t="shared" si="12"/>
        <v>7.8539771697007266E-2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205.57</v>
      </c>
      <c r="I89" s="13">
        <f t="shared" si="18"/>
        <v>46.589399999999998</v>
      </c>
      <c r="J89" s="13">
        <f t="shared" si="19"/>
        <v>205.57</v>
      </c>
      <c r="K89" s="14">
        <f t="shared" si="20"/>
        <v>47.857599999999998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205.57</v>
      </c>
      <c r="Y89" s="16">
        <v>42.535299999999999</v>
      </c>
      <c r="Z89" s="16">
        <v>46.589399999999998</v>
      </c>
      <c r="AA89" s="16">
        <v>47.857599999999998</v>
      </c>
      <c r="AB89" s="16">
        <v>14.827999999999999</v>
      </c>
      <c r="AC89" s="16"/>
      <c r="AD89" s="18">
        <f t="shared" si="23"/>
        <v>4.1188888888888889E-3</v>
      </c>
      <c r="AE89" s="22"/>
      <c r="AF89" s="22"/>
      <c r="AG89" s="22"/>
      <c r="AH89" s="19">
        <f t="shared" si="12"/>
        <v>6.5756097560975613E-2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143.86000000000001</v>
      </c>
      <c r="I90" s="38">
        <f t="shared" si="18"/>
        <v>44.511099999999999</v>
      </c>
      <c r="J90" s="38">
        <f t="shared" si="19"/>
        <v>143.86000000000001</v>
      </c>
      <c r="K90" s="39">
        <f t="shared" si="20"/>
        <v>45.547400000000003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143.86000000000001</v>
      </c>
      <c r="Y90" s="27">
        <v>39.092399999999998</v>
      </c>
      <c r="Z90" s="27">
        <v>44.511099999999999</v>
      </c>
      <c r="AA90" s="27">
        <v>45.547400000000003</v>
      </c>
      <c r="AB90" s="27">
        <v>13.077999999999999</v>
      </c>
      <c r="AC90" s="27"/>
      <c r="AD90" s="26">
        <f t="shared" si="23"/>
        <v>3.6327777777777777E-3</v>
      </c>
      <c r="AE90" s="23"/>
      <c r="AF90" s="23"/>
      <c r="AG90" s="23"/>
      <c r="AH90" s="76">
        <f t="shared" ref="AH90:AH106" si="24">AB90/T90</f>
        <v>6.0524440248428804E-2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-10.515039379860216</v>
      </c>
      <c r="AF93" s="44">
        <f>AVERAGE(AF31,AF35,AF39,AF43)</f>
        <v>-8.7786331673016775</v>
      </c>
      <c r="AG93" s="44">
        <f>AVERAGE(AG31,AG35,AG39,AG43)</f>
        <v>-8.7362725878820449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-7.3212537833301363</v>
      </c>
      <c r="AF94" s="44">
        <f>AVERAGE(AF47,AF55,AF51,AF59)</f>
        <v>-3.8809791159089388</v>
      </c>
      <c r="AG94" s="44">
        <f>AVERAGE(AG47,AG55,AG51,AG59)</f>
        <v>-2.1749339609863148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-21.928152602295821</v>
      </c>
      <c r="AF95" s="44">
        <f>AVERAGE(AF63,AF67,AF71)</f>
        <v>-34.32385482209181</v>
      </c>
      <c r="AG95" s="44">
        <f>AVERAGE(AG63,AG67,AG71)</f>
        <v>-31.756763380312865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-13.320475336751453</v>
      </c>
      <c r="AF96" s="44">
        <f t="shared" ref="AF96:AG96" si="25">AVERAGE(AF75,AF79,AF83,AF87)</f>
        <v>-22.854215180847163</v>
      </c>
      <c r="AG96" s="44">
        <f t="shared" si="25"/>
        <v>-18.600818512811799</v>
      </c>
    </row>
    <row r="97" spans="2:33">
      <c r="B97" s="69" t="s">
        <v>57</v>
      </c>
      <c r="C97" s="69"/>
      <c r="D97" s="70"/>
      <c r="E97" s="71"/>
      <c r="F97" s="72"/>
      <c r="G97" s="71"/>
      <c r="H97" s="71"/>
      <c r="I97" s="71"/>
      <c r="J97" s="71"/>
      <c r="K97" s="71"/>
      <c r="L97" s="71"/>
      <c r="M97" s="71"/>
      <c r="N97" s="71"/>
      <c r="O97" s="71"/>
      <c r="P97" s="69"/>
      <c r="Q97" s="69"/>
      <c r="R97" s="69"/>
      <c r="S97" s="69"/>
      <c r="T97" s="69"/>
      <c r="U97" s="69"/>
      <c r="V97" s="69"/>
      <c r="W97" s="73"/>
      <c r="X97" s="69"/>
      <c r="Y97" s="69"/>
      <c r="Z97" s="69"/>
      <c r="AA97" s="69"/>
      <c r="AB97" s="69"/>
      <c r="AC97" s="69"/>
      <c r="AD97" s="69"/>
      <c r="AE97" s="74" t="e">
        <f>AVERAGE(AE3,AE7,AE11,AE15,AE19,AE23,AE27,AE31,AE35,AE39,AE43,AE47,AE55,AE51,AE59,AE63,AE67,AE71)</f>
        <v>#VALUE!</v>
      </c>
      <c r="AF97" s="74" t="e">
        <f>AVERAGE(AF3,AF7,AF11,AF15,AF19,AF23,AF27,AF31,AF35,AF39,AF43,AF47,AF55,AF51,AF59,AF63,AF67,AF71)</f>
        <v>#VALUE!</v>
      </c>
      <c r="AG97" s="74" t="e">
        <f>AVERAGE(AG3,AG7,AG11,AG15,AG19,AG23,AG27,AG31,AG35,AG39,AG43,AG47,AG55,AG51,AG59,AG63,AG67,AG71)</f>
        <v>#VALUE!</v>
      </c>
    </row>
    <row r="98" spans="2:33">
      <c r="B98" s="69" t="s">
        <v>58</v>
      </c>
      <c r="C98" s="69"/>
      <c r="D98" s="70"/>
      <c r="E98" s="71"/>
      <c r="F98" s="72"/>
      <c r="G98" s="71"/>
      <c r="H98" s="71"/>
      <c r="I98" s="71"/>
      <c r="J98" s="71"/>
      <c r="K98" s="71"/>
      <c r="L98" s="71"/>
      <c r="M98" s="71"/>
      <c r="N98" s="71"/>
      <c r="O98" s="71"/>
      <c r="P98" s="69"/>
      <c r="Q98" s="69"/>
      <c r="R98" s="69"/>
      <c r="S98" s="69"/>
      <c r="T98" s="74"/>
      <c r="U98" s="74" t="e">
        <f>GEOMEAN(U3:U90)</f>
        <v>#NUM!</v>
      </c>
      <c r="V98" s="74" t="e">
        <f>GEOMEAN(V3:V90)</f>
        <v>#NUM!</v>
      </c>
      <c r="W98" s="74"/>
      <c r="X98" s="74"/>
      <c r="Y98" s="74"/>
      <c r="Z98" s="74"/>
      <c r="AA98" s="74"/>
      <c r="AB98" s="74"/>
      <c r="AC98" s="74" t="e">
        <f>GEOMEAN(AC3:AC74)</f>
        <v>#NUM!</v>
      </c>
      <c r="AD98" s="74" t="e">
        <f>GEOMEAN(AD3:AD74)</f>
        <v>#NUM!</v>
      </c>
      <c r="AE98" s="69"/>
      <c r="AF98" s="69"/>
      <c r="AG98" s="69"/>
    </row>
    <row r="99" spans="2:33">
      <c r="B99" s="69" t="s">
        <v>59</v>
      </c>
      <c r="C99" s="69"/>
      <c r="D99" s="70"/>
      <c r="E99" s="71"/>
      <c r="F99" s="72"/>
      <c r="G99" s="71"/>
      <c r="H99" s="71"/>
      <c r="I99" s="71"/>
      <c r="J99" s="71"/>
      <c r="K99" s="71"/>
      <c r="L99" s="71"/>
      <c r="M99" s="71"/>
      <c r="N99" s="71"/>
      <c r="O99" s="71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75"/>
      <c r="AC99" s="75" t="e">
        <f>AC98/U98</f>
        <v>#NUM!</v>
      </c>
      <c r="AD99" s="75" t="e">
        <f>AD98/V98</f>
        <v>#NUM!</v>
      </c>
      <c r="AE99" s="69"/>
      <c r="AF99" s="69"/>
      <c r="AG99" s="69"/>
    </row>
    <row r="100" spans="2:33">
      <c r="B100" s="69" t="s">
        <v>60</v>
      </c>
      <c r="C100" s="69"/>
      <c r="D100" s="70"/>
      <c r="E100" s="71"/>
      <c r="F100" s="72"/>
      <c r="G100" s="71"/>
      <c r="H100" s="71"/>
      <c r="I100" s="71"/>
      <c r="J100" s="71"/>
      <c r="K100" s="71"/>
      <c r="L100" s="71"/>
      <c r="M100" s="71"/>
      <c r="N100" s="71"/>
      <c r="O100" s="71"/>
      <c r="P100" s="69"/>
      <c r="Q100" s="69"/>
      <c r="R100" s="69"/>
      <c r="S100" s="69"/>
      <c r="T100" s="73"/>
      <c r="U100" s="73">
        <f>SUM(U3:U74)/3600</f>
        <v>0</v>
      </c>
      <c r="V100" s="73">
        <f>SUM(V3:V74)</f>
        <v>1.3925130555555554</v>
      </c>
      <c r="W100" s="69"/>
      <c r="X100" s="69"/>
      <c r="Y100" s="69"/>
      <c r="Z100" s="69"/>
      <c r="AA100" s="69"/>
      <c r="AB100" s="73"/>
      <c r="AC100" s="73">
        <f>SUM(AC3:AC74)/3600</f>
        <v>0</v>
      </c>
      <c r="AD100" s="73">
        <f>SUM(AD3:AD74)</f>
        <v>0.17447361111111112</v>
      </c>
      <c r="AE100" s="69"/>
      <c r="AF100" s="69"/>
      <c r="AG100" s="69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-12.694102120443647</v>
      </c>
      <c r="AF101" s="51">
        <f>AVERAGE(AF31,AF35,AF39,AF43,AF47,AF51,AF59,AF55,AF63,AF67,AF71,AF75,AF79,AF83,AF87)</f>
        <v>-16.33512495483377</v>
      </c>
      <c r="AG101" s="51">
        <f>AVERAGE(AG31,AG35,AG39,AG43,AG47,AG51,AG59,AG55,AG63,AG67,AG71,AG75,AG79,AG83,AG87)</f>
        <v>-14.221226025843949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3.5747834652574361E-3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0.12181622676075446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0.26652222222222222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47" priority="22" stopIfTrue="1" operator="between">
      <formula>-1</formula>
      <formula>1</formula>
    </cfRule>
    <cfRule type="cellIs" dxfId="46" priority="23" stopIfTrue="1" operator="lessThan">
      <formula>-3</formula>
    </cfRule>
    <cfRule type="cellIs" dxfId="45" priority="24" stopIfTrue="1" operator="greaterThan">
      <formula>3</formula>
    </cfRule>
  </conditionalFormatting>
  <conditionalFormatting sqref="AH3:AH6">
    <cfRule type="cellIs" dxfId="44" priority="19" stopIfTrue="1" operator="between">
      <formula>-1</formula>
      <formula>1</formula>
    </cfRule>
    <cfRule type="cellIs" dxfId="43" priority="20" stopIfTrue="1" operator="lessThan">
      <formula>-3</formula>
    </cfRule>
    <cfRule type="cellIs" dxfId="42" priority="21" stopIfTrue="1" operator="greaterThan">
      <formula>3</formula>
    </cfRule>
  </conditionalFormatting>
  <conditionalFormatting sqref="AH7:AH10">
    <cfRule type="cellIs" dxfId="41" priority="16" stopIfTrue="1" operator="between">
      <formula>-1</formula>
      <formula>1</formula>
    </cfRule>
    <cfRule type="cellIs" dxfId="40" priority="17" stopIfTrue="1" operator="lessThan">
      <formula>-3</formula>
    </cfRule>
    <cfRule type="cellIs" dxfId="39" priority="18" stopIfTrue="1" operator="greaterThan">
      <formula>3</formula>
    </cfRule>
  </conditionalFormatting>
  <conditionalFormatting sqref="AH11:AH74">
    <cfRule type="cellIs" dxfId="38" priority="13" stopIfTrue="1" operator="between">
      <formula>-1</formula>
      <formula>1</formula>
    </cfRule>
    <cfRule type="cellIs" dxfId="37" priority="14" stopIfTrue="1" operator="lessThan">
      <formula>-3</formula>
    </cfRule>
    <cfRule type="cellIs" dxfId="36" priority="15" stopIfTrue="1" operator="greaterThan">
      <formula>3</formula>
    </cfRule>
  </conditionalFormatting>
  <conditionalFormatting sqref="AE75:AG90">
    <cfRule type="cellIs" dxfId="35" priority="10" stopIfTrue="1" operator="between">
      <formula>-1</formula>
      <formula>1</formula>
    </cfRule>
    <cfRule type="cellIs" dxfId="34" priority="11" stopIfTrue="1" operator="lessThan">
      <formula>-3</formula>
    </cfRule>
    <cfRule type="cellIs" dxfId="33" priority="12" stopIfTrue="1" operator="greaterThan">
      <formula>3</formula>
    </cfRule>
  </conditionalFormatting>
  <conditionalFormatting sqref="AH75:AH90">
    <cfRule type="cellIs" dxfId="32" priority="7" stopIfTrue="1" operator="between">
      <formula>-1</formula>
      <formula>1</formula>
    </cfRule>
    <cfRule type="cellIs" dxfId="31" priority="8" stopIfTrue="1" operator="lessThan">
      <formula>-3</formula>
    </cfRule>
    <cfRule type="cellIs" dxfId="30" priority="9" stopIfTrue="1" operator="greaterThan">
      <formula>3</formula>
    </cfRule>
  </conditionalFormatting>
  <conditionalFormatting sqref="AE101:AG101">
    <cfRule type="cellIs" dxfId="29" priority="4" stopIfTrue="1" operator="between">
      <formula>-1</formula>
      <formula>1</formula>
    </cfRule>
    <cfRule type="cellIs" dxfId="28" priority="5" stopIfTrue="1" operator="lessThan">
      <formula>-3</formula>
    </cfRule>
    <cfRule type="cellIs" dxfId="27" priority="6" stopIfTrue="1" operator="greaterThan">
      <formula>3</formula>
    </cfRule>
  </conditionalFormatting>
  <conditionalFormatting sqref="AE96:AG96">
    <cfRule type="cellIs" dxfId="26" priority="1" stopIfTrue="1" operator="between">
      <formula>-1</formula>
      <formula>1</formula>
    </cfRule>
    <cfRule type="cellIs" dxfId="25" priority="2" stopIfTrue="1" operator="lessThan">
      <formula>-3</formula>
    </cfRule>
    <cfRule type="cellIs" dxfId="24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4513-9C80-4DF4-90F3-753E2F500A29}">
  <sheetPr codeName="Sheet6"/>
  <dimension ref="A1:AH104"/>
  <sheetViews>
    <sheetView topLeftCell="A16" workbookViewId="0">
      <selection activeCell="AB38" sqref="AB38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52" hidden="1" customWidth="1"/>
    <col min="5" max="5" width="5.625" style="53" hidden="1" customWidth="1"/>
    <col min="6" max="6" width="7.5" style="54" hidden="1" customWidth="1"/>
    <col min="7" max="7" width="5.625" style="53" hidden="1" customWidth="1"/>
    <col min="8" max="8" width="7.5" style="53" hidden="1" customWidth="1"/>
    <col min="9" max="9" width="5.625" style="53" hidden="1" customWidth="1"/>
    <col min="10" max="10" width="7.5" style="53" hidden="1" customWidth="1"/>
    <col min="11" max="14" width="5.625" style="53" hidden="1" customWidth="1"/>
    <col min="15" max="15" width="0.125" style="53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9" style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9" style="1" customWidth="1"/>
    <col min="31" max="255" width="9" style="1"/>
    <col min="256" max="256" width="6.25" style="1" bestFit="1" customWidth="1"/>
    <col min="257" max="257" width="11.125" style="1" bestFit="1" customWidth="1"/>
    <col min="258" max="258" width="6.25" style="1" customWidth="1"/>
    <col min="259" max="269" width="0" style="1" hidden="1" customWidth="1"/>
    <col min="270" max="270" width="0.125" style="1" customWidth="1"/>
    <col min="271" max="271" width="9" style="1"/>
    <col min="272" max="272" width="5.625" style="1" bestFit="1" customWidth="1"/>
    <col min="273" max="273" width="5.625" style="1" customWidth="1"/>
    <col min="274" max="274" width="5.625" style="1" bestFit="1" customWidth="1"/>
    <col min="275" max="277" width="9" style="1"/>
    <col min="278" max="278" width="6.875" style="1" bestFit="1" customWidth="1"/>
    <col min="279" max="279" width="9" style="1"/>
    <col min="280" max="282" width="5.625" style="1" customWidth="1"/>
    <col min="283" max="283" width="7.5" style="1" customWidth="1"/>
    <col min="284" max="511" width="9" style="1"/>
    <col min="512" max="512" width="6.25" style="1" bestFit="1" customWidth="1"/>
    <col min="513" max="513" width="11.125" style="1" bestFit="1" customWidth="1"/>
    <col min="514" max="514" width="6.25" style="1" customWidth="1"/>
    <col min="515" max="525" width="0" style="1" hidden="1" customWidth="1"/>
    <col min="526" max="526" width="0.125" style="1" customWidth="1"/>
    <col min="527" max="527" width="9" style="1"/>
    <col min="528" max="528" width="5.625" style="1" bestFit="1" customWidth="1"/>
    <col min="529" max="529" width="5.625" style="1" customWidth="1"/>
    <col min="530" max="530" width="5.625" style="1" bestFit="1" customWidth="1"/>
    <col min="531" max="533" width="9" style="1"/>
    <col min="534" max="534" width="6.875" style="1" bestFit="1" customWidth="1"/>
    <col min="535" max="535" width="9" style="1"/>
    <col min="536" max="538" width="5.625" style="1" customWidth="1"/>
    <col min="539" max="539" width="7.5" style="1" customWidth="1"/>
    <col min="540" max="767" width="9" style="1"/>
    <col min="768" max="768" width="6.25" style="1" bestFit="1" customWidth="1"/>
    <col min="769" max="769" width="11.125" style="1" bestFit="1" customWidth="1"/>
    <col min="770" max="770" width="6.25" style="1" customWidth="1"/>
    <col min="771" max="781" width="0" style="1" hidden="1" customWidth="1"/>
    <col min="782" max="782" width="0.125" style="1" customWidth="1"/>
    <col min="783" max="783" width="9" style="1"/>
    <col min="784" max="784" width="5.625" style="1" bestFit="1" customWidth="1"/>
    <col min="785" max="785" width="5.625" style="1" customWidth="1"/>
    <col min="786" max="786" width="5.625" style="1" bestFit="1" customWidth="1"/>
    <col min="787" max="789" width="9" style="1"/>
    <col min="790" max="790" width="6.875" style="1" bestFit="1" customWidth="1"/>
    <col min="791" max="791" width="9" style="1"/>
    <col min="792" max="794" width="5.625" style="1" customWidth="1"/>
    <col min="795" max="795" width="7.5" style="1" customWidth="1"/>
    <col min="796" max="1023" width="9" style="1"/>
    <col min="1024" max="1024" width="6.25" style="1" bestFit="1" customWidth="1"/>
    <col min="1025" max="1025" width="11.125" style="1" bestFit="1" customWidth="1"/>
    <col min="1026" max="1026" width="6.25" style="1" customWidth="1"/>
    <col min="1027" max="1037" width="0" style="1" hidden="1" customWidth="1"/>
    <col min="1038" max="1038" width="0.125" style="1" customWidth="1"/>
    <col min="1039" max="1039" width="9" style="1"/>
    <col min="1040" max="1040" width="5.625" style="1" bestFit="1" customWidth="1"/>
    <col min="1041" max="1041" width="5.625" style="1" customWidth="1"/>
    <col min="1042" max="1042" width="5.625" style="1" bestFit="1" customWidth="1"/>
    <col min="1043" max="1045" width="9" style="1"/>
    <col min="1046" max="1046" width="6.875" style="1" bestFit="1" customWidth="1"/>
    <col min="1047" max="1047" width="9" style="1"/>
    <col min="1048" max="1050" width="5.625" style="1" customWidth="1"/>
    <col min="1051" max="1051" width="7.5" style="1" customWidth="1"/>
    <col min="1052" max="1279" width="9" style="1"/>
    <col min="1280" max="1280" width="6.25" style="1" bestFit="1" customWidth="1"/>
    <col min="1281" max="1281" width="11.125" style="1" bestFit="1" customWidth="1"/>
    <col min="1282" max="1282" width="6.25" style="1" customWidth="1"/>
    <col min="1283" max="1293" width="0" style="1" hidden="1" customWidth="1"/>
    <col min="1294" max="1294" width="0.125" style="1" customWidth="1"/>
    <col min="1295" max="1295" width="9" style="1"/>
    <col min="1296" max="1296" width="5.625" style="1" bestFit="1" customWidth="1"/>
    <col min="1297" max="1297" width="5.625" style="1" customWidth="1"/>
    <col min="1298" max="1298" width="5.625" style="1" bestFit="1" customWidth="1"/>
    <col min="1299" max="1301" width="9" style="1"/>
    <col min="1302" max="1302" width="6.875" style="1" bestFit="1" customWidth="1"/>
    <col min="1303" max="1303" width="9" style="1"/>
    <col min="1304" max="1306" width="5.625" style="1" customWidth="1"/>
    <col min="1307" max="1307" width="7.5" style="1" customWidth="1"/>
    <col min="1308" max="1535" width="9" style="1"/>
    <col min="1536" max="1536" width="6.25" style="1" bestFit="1" customWidth="1"/>
    <col min="1537" max="1537" width="11.125" style="1" bestFit="1" customWidth="1"/>
    <col min="1538" max="1538" width="6.25" style="1" customWidth="1"/>
    <col min="1539" max="1549" width="0" style="1" hidden="1" customWidth="1"/>
    <col min="1550" max="1550" width="0.125" style="1" customWidth="1"/>
    <col min="1551" max="1551" width="9" style="1"/>
    <col min="1552" max="1552" width="5.625" style="1" bestFit="1" customWidth="1"/>
    <col min="1553" max="1553" width="5.625" style="1" customWidth="1"/>
    <col min="1554" max="1554" width="5.625" style="1" bestFit="1" customWidth="1"/>
    <col min="1555" max="1557" width="9" style="1"/>
    <col min="1558" max="1558" width="6.875" style="1" bestFit="1" customWidth="1"/>
    <col min="1559" max="1559" width="9" style="1"/>
    <col min="1560" max="1562" width="5.625" style="1" customWidth="1"/>
    <col min="1563" max="1563" width="7.5" style="1" customWidth="1"/>
    <col min="1564" max="1791" width="9" style="1"/>
    <col min="1792" max="1792" width="6.25" style="1" bestFit="1" customWidth="1"/>
    <col min="1793" max="1793" width="11.125" style="1" bestFit="1" customWidth="1"/>
    <col min="1794" max="1794" width="6.25" style="1" customWidth="1"/>
    <col min="1795" max="1805" width="0" style="1" hidden="1" customWidth="1"/>
    <col min="1806" max="1806" width="0.125" style="1" customWidth="1"/>
    <col min="1807" max="1807" width="9" style="1"/>
    <col min="1808" max="1808" width="5.625" style="1" bestFit="1" customWidth="1"/>
    <col min="1809" max="1809" width="5.625" style="1" customWidth="1"/>
    <col min="1810" max="1810" width="5.625" style="1" bestFit="1" customWidth="1"/>
    <col min="1811" max="1813" width="9" style="1"/>
    <col min="1814" max="1814" width="6.875" style="1" bestFit="1" customWidth="1"/>
    <col min="1815" max="1815" width="9" style="1"/>
    <col min="1816" max="1818" width="5.625" style="1" customWidth="1"/>
    <col min="1819" max="1819" width="7.5" style="1" customWidth="1"/>
    <col min="1820" max="2047" width="9" style="1"/>
    <col min="2048" max="2048" width="6.25" style="1" bestFit="1" customWidth="1"/>
    <col min="2049" max="2049" width="11.125" style="1" bestFit="1" customWidth="1"/>
    <col min="2050" max="2050" width="6.25" style="1" customWidth="1"/>
    <col min="2051" max="2061" width="0" style="1" hidden="1" customWidth="1"/>
    <col min="2062" max="2062" width="0.125" style="1" customWidth="1"/>
    <col min="2063" max="2063" width="9" style="1"/>
    <col min="2064" max="2064" width="5.625" style="1" bestFit="1" customWidth="1"/>
    <col min="2065" max="2065" width="5.625" style="1" customWidth="1"/>
    <col min="2066" max="2066" width="5.625" style="1" bestFit="1" customWidth="1"/>
    <col min="2067" max="2069" width="9" style="1"/>
    <col min="2070" max="2070" width="6.875" style="1" bestFit="1" customWidth="1"/>
    <col min="2071" max="2071" width="9" style="1"/>
    <col min="2072" max="2074" width="5.625" style="1" customWidth="1"/>
    <col min="2075" max="2075" width="7.5" style="1" customWidth="1"/>
    <col min="2076" max="2303" width="9" style="1"/>
    <col min="2304" max="2304" width="6.25" style="1" bestFit="1" customWidth="1"/>
    <col min="2305" max="2305" width="11.125" style="1" bestFit="1" customWidth="1"/>
    <col min="2306" max="2306" width="6.25" style="1" customWidth="1"/>
    <col min="2307" max="2317" width="0" style="1" hidden="1" customWidth="1"/>
    <col min="2318" max="2318" width="0.125" style="1" customWidth="1"/>
    <col min="2319" max="2319" width="9" style="1"/>
    <col min="2320" max="2320" width="5.625" style="1" bestFit="1" customWidth="1"/>
    <col min="2321" max="2321" width="5.625" style="1" customWidth="1"/>
    <col min="2322" max="2322" width="5.625" style="1" bestFit="1" customWidth="1"/>
    <col min="2323" max="2325" width="9" style="1"/>
    <col min="2326" max="2326" width="6.875" style="1" bestFit="1" customWidth="1"/>
    <col min="2327" max="2327" width="9" style="1"/>
    <col min="2328" max="2330" width="5.625" style="1" customWidth="1"/>
    <col min="2331" max="2331" width="7.5" style="1" customWidth="1"/>
    <col min="2332" max="2559" width="9" style="1"/>
    <col min="2560" max="2560" width="6.25" style="1" bestFit="1" customWidth="1"/>
    <col min="2561" max="2561" width="11.125" style="1" bestFit="1" customWidth="1"/>
    <col min="2562" max="2562" width="6.25" style="1" customWidth="1"/>
    <col min="2563" max="2573" width="0" style="1" hidden="1" customWidth="1"/>
    <col min="2574" max="2574" width="0.125" style="1" customWidth="1"/>
    <col min="2575" max="2575" width="9" style="1"/>
    <col min="2576" max="2576" width="5.625" style="1" bestFit="1" customWidth="1"/>
    <col min="2577" max="2577" width="5.625" style="1" customWidth="1"/>
    <col min="2578" max="2578" width="5.625" style="1" bestFit="1" customWidth="1"/>
    <col min="2579" max="2581" width="9" style="1"/>
    <col min="2582" max="2582" width="6.875" style="1" bestFit="1" customWidth="1"/>
    <col min="2583" max="2583" width="9" style="1"/>
    <col min="2584" max="2586" width="5.625" style="1" customWidth="1"/>
    <col min="2587" max="2587" width="7.5" style="1" customWidth="1"/>
    <col min="2588" max="2815" width="9" style="1"/>
    <col min="2816" max="2816" width="6.25" style="1" bestFit="1" customWidth="1"/>
    <col min="2817" max="2817" width="11.125" style="1" bestFit="1" customWidth="1"/>
    <col min="2818" max="2818" width="6.25" style="1" customWidth="1"/>
    <col min="2819" max="2829" width="0" style="1" hidden="1" customWidth="1"/>
    <col min="2830" max="2830" width="0.125" style="1" customWidth="1"/>
    <col min="2831" max="2831" width="9" style="1"/>
    <col min="2832" max="2832" width="5.625" style="1" bestFit="1" customWidth="1"/>
    <col min="2833" max="2833" width="5.625" style="1" customWidth="1"/>
    <col min="2834" max="2834" width="5.625" style="1" bestFit="1" customWidth="1"/>
    <col min="2835" max="2837" width="9" style="1"/>
    <col min="2838" max="2838" width="6.875" style="1" bestFit="1" customWidth="1"/>
    <col min="2839" max="2839" width="9" style="1"/>
    <col min="2840" max="2842" width="5.625" style="1" customWidth="1"/>
    <col min="2843" max="2843" width="7.5" style="1" customWidth="1"/>
    <col min="2844" max="3071" width="9" style="1"/>
    <col min="3072" max="3072" width="6.25" style="1" bestFit="1" customWidth="1"/>
    <col min="3073" max="3073" width="11.125" style="1" bestFit="1" customWidth="1"/>
    <col min="3074" max="3074" width="6.25" style="1" customWidth="1"/>
    <col min="3075" max="3085" width="0" style="1" hidden="1" customWidth="1"/>
    <col min="3086" max="3086" width="0.125" style="1" customWidth="1"/>
    <col min="3087" max="3087" width="9" style="1"/>
    <col min="3088" max="3088" width="5.625" style="1" bestFit="1" customWidth="1"/>
    <col min="3089" max="3089" width="5.625" style="1" customWidth="1"/>
    <col min="3090" max="3090" width="5.625" style="1" bestFit="1" customWidth="1"/>
    <col min="3091" max="3093" width="9" style="1"/>
    <col min="3094" max="3094" width="6.875" style="1" bestFit="1" customWidth="1"/>
    <col min="3095" max="3095" width="9" style="1"/>
    <col min="3096" max="3098" width="5.625" style="1" customWidth="1"/>
    <col min="3099" max="3099" width="7.5" style="1" customWidth="1"/>
    <col min="3100" max="3327" width="9" style="1"/>
    <col min="3328" max="3328" width="6.25" style="1" bestFit="1" customWidth="1"/>
    <col min="3329" max="3329" width="11.125" style="1" bestFit="1" customWidth="1"/>
    <col min="3330" max="3330" width="6.25" style="1" customWidth="1"/>
    <col min="3331" max="3341" width="0" style="1" hidden="1" customWidth="1"/>
    <col min="3342" max="3342" width="0.125" style="1" customWidth="1"/>
    <col min="3343" max="3343" width="9" style="1"/>
    <col min="3344" max="3344" width="5.625" style="1" bestFit="1" customWidth="1"/>
    <col min="3345" max="3345" width="5.625" style="1" customWidth="1"/>
    <col min="3346" max="3346" width="5.625" style="1" bestFit="1" customWidth="1"/>
    <col min="3347" max="3349" width="9" style="1"/>
    <col min="3350" max="3350" width="6.875" style="1" bestFit="1" customWidth="1"/>
    <col min="3351" max="3351" width="9" style="1"/>
    <col min="3352" max="3354" width="5.625" style="1" customWidth="1"/>
    <col min="3355" max="3355" width="7.5" style="1" customWidth="1"/>
    <col min="3356" max="3583" width="9" style="1"/>
    <col min="3584" max="3584" width="6.25" style="1" bestFit="1" customWidth="1"/>
    <col min="3585" max="3585" width="11.125" style="1" bestFit="1" customWidth="1"/>
    <col min="3586" max="3586" width="6.25" style="1" customWidth="1"/>
    <col min="3587" max="3597" width="0" style="1" hidden="1" customWidth="1"/>
    <col min="3598" max="3598" width="0.125" style="1" customWidth="1"/>
    <col min="3599" max="3599" width="9" style="1"/>
    <col min="3600" max="3600" width="5.625" style="1" bestFit="1" customWidth="1"/>
    <col min="3601" max="3601" width="5.625" style="1" customWidth="1"/>
    <col min="3602" max="3602" width="5.625" style="1" bestFit="1" customWidth="1"/>
    <col min="3603" max="3605" width="9" style="1"/>
    <col min="3606" max="3606" width="6.875" style="1" bestFit="1" customWidth="1"/>
    <col min="3607" max="3607" width="9" style="1"/>
    <col min="3608" max="3610" width="5.625" style="1" customWidth="1"/>
    <col min="3611" max="3611" width="7.5" style="1" customWidth="1"/>
    <col min="3612" max="3839" width="9" style="1"/>
    <col min="3840" max="3840" width="6.25" style="1" bestFit="1" customWidth="1"/>
    <col min="3841" max="3841" width="11.125" style="1" bestFit="1" customWidth="1"/>
    <col min="3842" max="3842" width="6.25" style="1" customWidth="1"/>
    <col min="3843" max="3853" width="0" style="1" hidden="1" customWidth="1"/>
    <col min="3854" max="3854" width="0.125" style="1" customWidth="1"/>
    <col min="3855" max="3855" width="9" style="1"/>
    <col min="3856" max="3856" width="5.625" style="1" bestFit="1" customWidth="1"/>
    <col min="3857" max="3857" width="5.625" style="1" customWidth="1"/>
    <col min="3858" max="3858" width="5.625" style="1" bestFit="1" customWidth="1"/>
    <col min="3859" max="3861" width="9" style="1"/>
    <col min="3862" max="3862" width="6.875" style="1" bestFit="1" customWidth="1"/>
    <col min="3863" max="3863" width="9" style="1"/>
    <col min="3864" max="3866" width="5.625" style="1" customWidth="1"/>
    <col min="3867" max="3867" width="7.5" style="1" customWidth="1"/>
    <col min="3868" max="4095" width="9" style="1"/>
    <col min="4096" max="4096" width="6.25" style="1" bestFit="1" customWidth="1"/>
    <col min="4097" max="4097" width="11.125" style="1" bestFit="1" customWidth="1"/>
    <col min="4098" max="4098" width="6.25" style="1" customWidth="1"/>
    <col min="4099" max="4109" width="0" style="1" hidden="1" customWidth="1"/>
    <col min="4110" max="4110" width="0.125" style="1" customWidth="1"/>
    <col min="4111" max="4111" width="9" style="1"/>
    <col min="4112" max="4112" width="5.625" style="1" bestFit="1" customWidth="1"/>
    <col min="4113" max="4113" width="5.625" style="1" customWidth="1"/>
    <col min="4114" max="4114" width="5.625" style="1" bestFit="1" customWidth="1"/>
    <col min="4115" max="4117" width="9" style="1"/>
    <col min="4118" max="4118" width="6.875" style="1" bestFit="1" customWidth="1"/>
    <col min="4119" max="4119" width="9" style="1"/>
    <col min="4120" max="4122" width="5.625" style="1" customWidth="1"/>
    <col min="4123" max="4123" width="7.5" style="1" customWidth="1"/>
    <col min="4124" max="4351" width="9" style="1"/>
    <col min="4352" max="4352" width="6.25" style="1" bestFit="1" customWidth="1"/>
    <col min="4353" max="4353" width="11.125" style="1" bestFit="1" customWidth="1"/>
    <col min="4354" max="4354" width="6.25" style="1" customWidth="1"/>
    <col min="4355" max="4365" width="0" style="1" hidden="1" customWidth="1"/>
    <col min="4366" max="4366" width="0.125" style="1" customWidth="1"/>
    <col min="4367" max="4367" width="9" style="1"/>
    <col min="4368" max="4368" width="5.625" style="1" bestFit="1" customWidth="1"/>
    <col min="4369" max="4369" width="5.625" style="1" customWidth="1"/>
    <col min="4370" max="4370" width="5.625" style="1" bestFit="1" customWidth="1"/>
    <col min="4371" max="4373" width="9" style="1"/>
    <col min="4374" max="4374" width="6.875" style="1" bestFit="1" customWidth="1"/>
    <col min="4375" max="4375" width="9" style="1"/>
    <col min="4376" max="4378" width="5.625" style="1" customWidth="1"/>
    <col min="4379" max="4379" width="7.5" style="1" customWidth="1"/>
    <col min="4380" max="4607" width="9" style="1"/>
    <col min="4608" max="4608" width="6.25" style="1" bestFit="1" customWidth="1"/>
    <col min="4609" max="4609" width="11.125" style="1" bestFit="1" customWidth="1"/>
    <col min="4610" max="4610" width="6.25" style="1" customWidth="1"/>
    <col min="4611" max="4621" width="0" style="1" hidden="1" customWidth="1"/>
    <col min="4622" max="4622" width="0.125" style="1" customWidth="1"/>
    <col min="4623" max="4623" width="9" style="1"/>
    <col min="4624" max="4624" width="5.625" style="1" bestFit="1" customWidth="1"/>
    <col min="4625" max="4625" width="5.625" style="1" customWidth="1"/>
    <col min="4626" max="4626" width="5.625" style="1" bestFit="1" customWidth="1"/>
    <col min="4627" max="4629" width="9" style="1"/>
    <col min="4630" max="4630" width="6.875" style="1" bestFit="1" customWidth="1"/>
    <col min="4631" max="4631" width="9" style="1"/>
    <col min="4632" max="4634" width="5.625" style="1" customWidth="1"/>
    <col min="4635" max="4635" width="7.5" style="1" customWidth="1"/>
    <col min="4636" max="4863" width="9" style="1"/>
    <col min="4864" max="4864" width="6.25" style="1" bestFit="1" customWidth="1"/>
    <col min="4865" max="4865" width="11.125" style="1" bestFit="1" customWidth="1"/>
    <col min="4866" max="4866" width="6.25" style="1" customWidth="1"/>
    <col min="4867" max="4877" width="0" style="1" hidden="1" customWidth="1"/>
    <col min="4878" max="4878" width="0.125" style="1" customWidth="1"/>
    <col min="4879" max="4879" width="9" style="1"/>
    <col min="4880" max="4880" width="5.625" style="1" bestFit="1" customWidth="1"/>
    <col min="4881" max="4881" width="5.625" style="1" customWidth="1"/>
    <col min="4882" max="4882" width="5.625" style="1" bestFit="1" customWidth="1"/>
    <col min="4883" max="4885" width="9" style="1"/>
    <col min="4886" max="4886" width="6.875" style="1" bestFit="1" customWidth="1"/>
    <col min="4887" max="4887" width="9" style="1"/>
    <col min="4888" max="4890" width="5.625" style="1" customWidth="1"/>
    <col min="4891" max="4891" width="7.5" style="1" customWidth="1"/>
    <col min="4892" max="5119" width="9" style="1"/>
    <col min="5120" max="5120" width="6.25" style="1" bestFit="1" customWidth="1"/>
    <col min="5121" max="5121" width="11.125" style="1" bestFit="1" customWidth="1"/>
    <col min="5122" max="5122" width="6.25" style="1" customWidth="1"/>
    <col min="5123" max="5133" width="0" style="1" hidden="1" customWidth="1"/>
    <col min="5134" max="5134" width="0.125" style="1" customWidth="1"/>
    <col min="5135" max="5135" width="9" style="1"/>
    <col min="5136" max="5136" width="5.625" style="1" bestFit="1" customWidth="1"/>
    <col min="5137" max="5137" width="5.625" style="1" customWidth="1"/>
    <col min="5138" max="5138" width="5.625" style="1" bestFit="1" customWidth="1"/>
    <col min="5139" max="5141" width="9" style="1"/>
    <col min="5142" max="5142" width="6.875" style="1" bestFit="1" customWidth="1"/>
    <col min="5143" max="5143" width="9" style="1"/>
    <col min="5144" max="5146" width="5.625" style="1" customWidth="1"/>
    <col min="5147" max="5147" width="7.5" style="1" customWidth="1"/>
    <col min="5148" max="5375" width="9" style="1"/>
    <col min="5376" max="5376" width="6.25" style="1" bestFit="1" customWidth="1"/>
    <col min="5377" max="5377" width="11.125" style="1" bestFit="1" customWidth="1"/>
    <col min="5378" max="5378" width="6.25" style="1" customWidth="1"/>
    <col min="5379" max="5389" width="0" style="1" hidden="1" customWidth="1"/>
    <col min="5390" max="5390" width="0.125" style="1" customWidth="1"/>
    <col min="5391" max="5391" width="9" style="1"/>
    <col min="5392" max="5392" width="5.625" style="1" bestFit="1" customWidth="1"/>
    <col min="5393" max="5393" width="5.625" style="1" customWidth="1"/>
    <col min="5394" max="5394" width="5.625" style="1" bestFit="1" customWidth="1"/>
    <col min="5395" max="5397" width="9" style="1"/>
    <col min="5398" max="5398" width="6.875" style="1" bestFit="1" customWidth="1"/>
    <col min="5399" max="5399" width="9" style="1"/>
    <col min="5400" max="5402" width="5.625" style="1" customWidth="1"/>
    <col min="5403" max="5403" width="7.5" style="1" customWidth="1"/>
    <col min="5404" max="5631" width="9" style="1"/>
    <col min="5632" max="5632" width="6.25" style="1" bestFit="1" customWidth="1"/>
    <col min="5633" max="5633" width="11.125" style="1" bestFit="1" customWidth="1"/>
    <col min="5634" max="5634" width="6.25" style="1" customWidth="1"/>
    <col min="5635" max="5645" width="0" style="1" hidden="1" customWidth="1"/>
    <col min="5646" max="5646" width="0.125" style="1" customWidth="1"/>
    <col min="5647" max="5647" width="9" style="1"/>
    <col min="5648" max="5648" width="5.625" style="1" bestFit="1" customWidth="1"/>
    <col min="5649" max="5649" width="5.625" style="1" customWidth="1"/>
    <col min="5650" max="5650" width="5.625" style="1" bestFit="1" customWidth="1"/>
    <col min="5651" max="5653" width="9" style="1"/>
    <col min="5654" max="5654" width="6.875" style="1" bestFit="1" customWidth="1"/>
    <col min="5655" max="5655" width="9" style="1"/>
    <col min="5656" max="5658" width="5.625" style="1" customWidth="1"/>
    <col min="5659" max="5659" width="7.5" style="1" customWidth="1"/>
    <col min="5660" max="5887" width="9" style="1"/>
    <col min="5888" max="5888" width="6.25" style="1" bestFit="1" customWidth="1"/>
    <col min="5889" max="5889" width="11.125" style="1" bestFit="1" customWidth="1"/>
    <col min="5890" max="5890" width="6.25" style="1" customWidth="1"/>
    <col min="5891" max="5901" width="0" style="1" hidden="1" customWidth="1"/>
    <col min="5902" max="5902" width="0.125" style="1" customWidth="1"/>
    <col min="5903" max="5903" width="9" style="1"/>
    <col min="5904" max="5904" width="5.625" style="1" bestFit="1" customWidth="1"/>
    <col min="5905" max="5905" width="5.625" style="1" customWidth="1"/>
    <col min="5906" max="5906" width="5.625" style="1" bestFit="1" customWidth="1"/>
    <col min="5907" max="5909" width="9" style="1"/>
    <col min="5910" max="5910" width="6.875" style="1" bestFit="1" customWidth="1"/>
    <col min="5911" max="5911" width="9" style="1"/>
    <col min="5912" max="5914" width="5.625" style="1" customWidth="1"/>
    <col min="5915" max="5915" width="7.5" style="1" customWidth="1"/>
    <col min="5916" max="6143" width="9" style="1"/>
    <col min="6144" max="6144" width="6.25" style="1" bestFit="1" customWidth="1"/>
    <col min="6145" max="6145" width="11.125" style="1" bestFit="1" customWidth="1"/>
    <col min="6146" max="6146" width="6.25" style="1" customWidth="1"/>
    <col min="6147" max="6157" width="0" style="1" hidden="1" customWidth="1"/>
    <col min="6158" max="6158" width="0.125" style="1" customWidth="1"/>
    <col min="6159" max="6159" width="9" style="1"/>
    <col min="6160" max="6160" width="5.625" style="1" bestFit="1" customWidth="1"/>
    <col min="6161" max="6161" width="5.625" style="1" customWidth="1"/>
    <col min="6162" max="6162" width="5.625" style="1" bestFit="1" customWidth="1"/>
    <col min="6163" max="6165" width="9" style="1"/>
    <col min="6166" max="6166" width="6.875" style="1" bestFit="1" customWidth="1"/>
    <col min="6167" max="6167" width="9" style="1"/>
    <col min="6168" max="6170" width="5.625" style="1" customWidth="1"/>
    <col min="6171" max="6171" width="7.5" style="1" customWidth="1"/>
    <col min="6172" max="6399" width="9" style="1"/>
    <col min="6400" max="6400" width="6.25" style="1" bestFit="1" customWidth="1"/>
    <col min="6401" max="6401" width="11.125" style="1" bestFit="1" customWidth="1"/>
    <col min="6402" max="6402" width="6.25" style="1" customWidth="1"/>
    <col min="6403" max="6413" width="0" style="1" hidden="1" customWidth="1"/>
    <col min="6414" max="6414" width="0.125" style="1" customWidth="1"/>
    <col min="6415" max="6415" width="9" style="1"/>
    <col min="6416" max="6416" width="5.625" style="1" bestFit="1" customWidth="1"/>
    <col min="6417" max="6417" width="5.625" style="1" customWidth="1"/>
    <col min="6418" max="6418" width="5.625" style="1" bestFit="1" customWidth="1"/>
    <col min="6419" max="6421" width="9" style="1"/>
    <col min="6422" max="6422" width="6.875" style="1" bestFit="1" customWidth="1"/>
    <col min="6423" max="6423" width="9" style="1"/>
    <col min="6424" max="6426" width="5.625" style="1" customWidth="1"/>
    <col min="6427" max="6427" width="7.5" style="1" customWidth="1"/>
    <col min="6428" max="6655" width="9" style="1"/>
    <col min="6656" max="6656" width="6.25" style="1" bestFit="1" customWidth="1"/>
    <col min="6657" max="6657" width="11.125" style="1" bestFit="1" customWidth="1"/>
    <col min="6658" max="6658" width="6.25" style="1" customWidth="1"/>
    <col min="6659" max="6669" width="0" style="1" hidden="1" customWidth="1"/>
    <col min="6670" max="6670" width="0.125" style="1" customWidth="1"/>
    <col min="6671" max="6671" width="9" style="1"/>
    <col min="6672" max="6672" width="5.625" style="1" bestFit="1" customWidth="1"/>
    <col min="6673" max="6673" width="5.625" style="1" customWidth="1"/>
    <col min="6674" max="6674" width="5.625" style="1" bestFit="1" customWidth="1"/>
    <col min="6675" max="6677" width="9" style="1"/>
    <col min="6678" max="6678" width="6.875" style="1" bestFit="1" customWidth="1"/>
    <col min="6679" max="6679" width="9" style="1"/>
    <col min="6680" max="6682" width="5.625" style="1" customWidth="1"/>
    <col min="6683" max="6683" width="7.5" style="1" customWidth="1"/>
    <col min="6684" max="6911" width="9" style="1"/>
    <col min="6912" max="6912" width="6.25" style="1" bestFit="1" customWidth="1"/>
    <col min="6913" max="6913" width="11.125" style="1" bestFit="1" customWidth="1"/>
    <col min="6914" max="6914" width="6.25" style="1" customWidth="1"/>
    <col min="6915" max="6925" width="0" style="1" hidden="1" customWidth="1"/>
    <col min="6926" max="6926" width="0.125" style="1" customWidth="1"/>
    <col min="6927" max="6927" width="9" style="1"/>
    <col min="6928" max="6928" width="5.625" style="1" bestFit="1" customWidth="1"/>
    <col min="6929" max="6929" width="5.625" style="1" customWidth="1"/>
    <col min="6930" max="6930" width="5.625" style="1" bestFit="1" customWidth="1"/>
    <col min="6931" max="6933" width="9" style="1"/>
    <col min="6934" max="6934" width="6.875" style="1" bestFit="1" customWidth="1"/>
    <col min="6935" max="6935" width="9" style="1"/>
    <col min="6936" max="6938" width="5.625" style="1" customWidth="1"/>
    <col min="6939" max="6939" width="7.5" style="1" customWidth="1"/>
    <col min="6940" max="7167" width="9" style="1"/>
    <col min="7168" max="7168" width="6.25" style="1" bestFit="1" customWidth="1"/>
    <col min="7169" max="7169" width="11.125" style="1" bestFit="1" customWidth="1"/>
    <col min="7170" max="7170" width="6.25" style="1" customWidth="1"/>
    <col min="7171" max="7181" width="0" style="1" hidden="1" customWidth="1"/>
    <col min="7182" max="7182" width="0.125" style="1" customWidth="1"/>
    <col min="7183" max="7183" width="9" style="1"/>
    <col min="7184" max="7184" width="5.625" style="1" bestFit="1" customWidth="1"/>
    <col min="7185" max="7185" width="5.625" style="1" customWidth="1"/>
    <col min="7186" max="7186" width="5.625" style="1" bestFit="1" customWidth="1"/>
    <col min="7187" max="7189" width="9" style="1"/>
    <col min="7190" max="7190" width="6.875" style="1" bestFit="1" customWidth="1"/>
    <col min="7191" max="7191" width="9" style="1"/>
    <col min="7192" max="7194" width="5.625" style="1" customWidth="1"/>
    <col min="7195" max="7195" width="7.5" style="1" customWidth="1"/>
    <col min="7196" max="7423" width="9" style="1"/>
    <col min="7424" max="7424" width="6.25" style="1" bestFit="1" customWidth="1"/>
    <col min="7425" max="7425" width="11.125" style="1" bestFit="1" customWidth="1"/>
    <col min="7426" max="7426" width="6.25" style="1" customWidth="1"/>
    <col min="7427" max="7437" width="0" style="1" hidden="1" customWidth="1"/>
    <col min="7438" max="7438" width="0.125" style="1" customWidth="1"/>
    <col min="7439" max="7439" width="9" style="1"/>
    <col min="7440" max="7440" width="5.625" style="1" bestFit="1" customWidth="1"/>
    <col min="7441" max="7441" width="5.625" style="1" customWidth="1"/>
    <col min="7442" max="7442" width="5.625" style="1" bestFit="1" customWidth="1"/>
    <col min="7443" max="7445" width="9" style="1"/>
    <col min="7446" max="7446" width="6.875" style="1" bestFit="1" customWidth="1"/>
    <col min="7447" max="7447" width="9" style="1"/>
    <col min="7448" max="7450" width="5.625" style="1" customWidth="1"/>
    <col min="7451" max="7451" width="7.5" style="1" customWidth="1"/>
    <col min="7452" max="7679" width="9" style="1"/>
    <col min="7680" max="7680" width="6.25" style="1" bestFit="1" customWidth="1"/>
    <col min="7681" max="7681" width="11.125" style="1" bestFit="1" customWidth="1"/>
    <col min="7682" max="7682" width="6.25" style="1" customWidth="1"/>
    <col min="7683" max="7693" width="0" style="1" hidden="1" customWidth="1"/>
    <col min="7694" max="7694" width="0.125" style="1" customWidth="1"/>
    <col min="7695" max="7695" width="9" style="1"/>
    <col min="7696" max="7696" width="5.625" style="1" bestFit="1" customWidth="1"/>
    <col min="7697" max="7697" width="5.625" style="1" customWidth="1"/>
    <col min="7698" max="7698" width="5.625" style="1" bestFit="1" customWidth="1"/>
    <col min="7699" max="7701" width="9" style="1"/>
    <col min="7702" max="7702" width="6.875" style="1" bestFit="1" customWidth="1"/>
    <col min="7703" max="7703" width="9" style="1"/>
    <col min="7704" max="7706" width="5.625" style="1" customWidth="1"/>
    <col min="7707" max="7707" width="7.5" style="1" customWidth="1"/>
    <col min="7708" max="7935" width="9" style="1"/>
    <col min="7936" max="7936" width="6.25" style="1" bestFit="1" customWidth="1"/>
    <col min="7937" max="7937" width="11.125" style="1" bestFit="1" customWidth="1"/>
    <col min="7938" max="7938" width="6.25" style="1" customWidth="1"/>
    <col min="7939" max="7949" width="0" style="1" hidden="1" customWidth="1"/>
    <col min="7950" max="7950" width="0.125" style="1" customWidth="1"/>
    <col min="7951" max="7951" width="9" style="1"/>
    <col min="7952" max="7952" width="5.625" style="1" bestFit="1" customWidth="1"/>
    <col min="7953" max="7953" width="5.625" style="1" customWidth="1"/>
    <col min="7954" max="7954" width="5.625" style="1" bestFit="1" customWidth="1"/>
    <col min="7955" max="7957" width="9" style="1"/>
    <col min="7958" max="7958" width="6.875" style="1" bestFit="1" customWidth="1"/>
    <col min="7959" max="7959" width="9" style="1"/>
    <col min="7960" max="7962" width="5.625" style="1" customWidth="1"/>
    <col min="7963" max="7963" width="7.5" style="1" customWidth="1"/>
    <col min="7964" max="8191" width="9" style="1"/>
    <col min="8192" max="8192" width="6.25" style="1" bestFit="1" customWidth="1"/>
    <col min="8193" max="8193" width="11.125" style="1" bestFit="1" customWidth="1"/>
    <col min="8194" max="8194" width="6.25" style="1" customWidth="1"/>
    <col min="8195" max="8205" width="0" style="1" hidden="1" customWidth="1"/>
    <col min="8206" max="8206" width="0.125" style="1" customWidth="1"/>
    <col min="8207" max="8207" width="9" style="1"/>
    <col min="8208" max="8208" width="5.625" style="1" bestFit="1" customWidth="1"/>
    <col min="8209" max="8209" width="5.625" style="1" customWidth="1"/>
    <col min="8210" max="8210" width="5.625" style="1" bestFit="1" customWidth="1"/>
    <col min="8211" max="8213" width="9" style="1"/>
    <col min="8214" max="8214" width="6.875" style="1" bestFit="1" customWidth="1"/>
    <col min="8215" max="8215" width="9" style="1"/>
    <col min="8216" max="8218" width="5.625" style="1" customWidth="1"/>
    <col min="8219" max="8219" width="7.5" style="1" customWidth="1"/>
    <col min="8220" max="8447" width="9" style="1"/>
    <col min="8448" max="8448" width="6.25" style="1" bestFit="1" customWidth="1"/>
    <col min="8449" max="8449" width="11.125" style="1" bestFit="1" customWidth="1"/>
    <col min="8450" max="8450" width="6.25" style="1" customWidth="1"/>
    <col min="8451" max="8461" width="0" style="1" hidden="1" customWidth="1"/>
    <col min="8462" max="8462" width="0.125" style="1" customWidth="1"/>
    <col min="8463" max="8463" width="9" style="1"/>
    <col min="8464" max="8464" width="5.625" style="1" bestFit="1" customWidth="1"/>
    <col min="8465" max="8465" width="5.625" style="1" customWidth="1"/>
    <col min="8466" max="8466" width="5.625" style="1" bestFit="1" customWidth="1"/>
    <col min="8467" max="8469" width="9" style="1"/>
    <col min="8470" max="8470" width="6.875" style="1" bestFit="1" customWidth="1"/>
    <col min="8471" max="8471" width="9" style="1"/>
    <col min="8472" max="8474" width="5.625" style="1" customWidth="1"/>
    <col min="8475" max="8475" width="7.5" style="1" customWidth="1"/>
    <col min="8476" max="8703" width="9" style="1"/>
    <col min="8704" max="8704" width="6.25" style="1" bestFit="1" customWidth="1"/>
    <col min="8705" max="8705" width="11.125" style="1" bestFit="1" customWidth="1"/>
    <col min="8706" max="8706" width="6.25" style="1" customWidth="1"/>
    <col min="8707" max="8717" width="0" style="1" hidden="1" customWidth="1"/>
    <col min="8718" max="8718" width="0.125" style="1" customWidth="1"/>
    <col min="8719" max="8719" width="9" style="1"/>
    <col min="8720" max="8720" width="5.625" style="1" bestFit="1" customWidth="1"/>
    <col min="8721" max="8721" width="5.625" style="1" customWidth="1"/>
    <col min="8722" max="8722" width="5.625" style="1" bestFit="1" customWidth="1"/>
    <col min="8723" max="8725" width="9" style="1"/>
    <col min="8726" max="8726" width="6.875" style="1" bestFit="1" customWidth="1"/>
    <col min="8727" max="8727" width="9" style="1"/>
    <col min="8728" max="8730" width="5.625" style="1" customWidth="1"/>
    <col min="8731" max="8731" width="7.5" style="1" customWidth="1"/>
    <col min="8732" max="8959" width="9" style="1"/>
    <col min="8960" max="8960" width="6.25" style="1" bestFit="1" customWidth="1"/>
    <col min="8961" max="8961" width="11.125" style="1" bestFit="1" customWidth="1"/>
    <col min="8962" max="8962" width="6.25" style="1" customWidth="1"/>
    <col min="8963" max="8973" width="0" style="1" hidden="1" customWidth="1"/>
    <col min="8974" max="8974" width="0.125" style="1" customWidth="1"/>
    <col min="8975" max="8975" width="9" style="1"/>
    <col min="8976" max="8976" width="5.625" style="1" bestFit="1" customWidth="1"/>
    <col min="8977" max="8977" width="5.625" style="1" customWidth="1"/>
    <col min="8978" max="8978" width="5.625" style="1" bestFit="1" customWidth="1"/>
    <col min="8979" max="8981" width="9" style="1"/>
    <col min="8982" max="8982" width="6.875" style="1" bestFit="1" customWidth="1"/>
    <col min="8983" max="8983" width="9" style="1"/>
    <col min="8984" max="8986" width="5.625" style="1" customWidth="1"/>
    <col min="8987" max="8987" width="7.5" style="1" customWidth="1"/>
    <col min="8988" max="9215" width="9" style="1"/>
    <col min="9216" max="9216" width="6.25" style="1" bestFit="1" customWidth="1"/>
    <col min="9217" max="9217" width="11.125" style="1" bestFit="1" customWidth="1"/>
    <col min="9218" max="9218" width="6.25" style="1" customWidth="1"/>
    <col min="9219" max="9229" width="0" style="1" hidden="1" customWidth="1"/>
    <col min="9230" max="9230" width="0.125" style="1" customWidth="1"/>
    <col min="9231" max="9231" width="9" style="1"/>
    <col min="9232" max="9232" width="5.625" style="1" bestFit="1" customWidth="1"/>
    <col min="9233" max="9233" width="5.625" style="1" customWidth="1"/>
    <col min="9234" max="9234" width="5.625" style="1" bestFit="1" customWidth="1"/>
    <col min="9235" max="9237" width="9" style="1"/>
    <col min="9238" max="9238" width="6.875" style="1" bestFit="1" customWidth="1"/>
    <col min="9239" max="9239" width="9" style="1"/>
    <col min="9240" max="9242" width="5.625" style="1" customWidth="1"/>
    <col min="9243" max="9243" width="7.5" style="1" customWidth="1"/>
    <col min="9244" max="9471" width="9" style="1"/>
    <col min="9472" max="9472" width="6.25" style="1" bestFit="1" customWidth="1"/>
    <col min="9473" max="9473" width="11.125" style="1" bestFit="1" customWidth="1"/>
    <col min="9474" max="9474" width="6.25" style="1" customWidth="1"/>
    <col min="9475" max="9485" width="0" style="1" hidden="1" customWidth="1"/>
    <col min="9486" max="9486" width="0.125" style="1" customWidth="1"/>
    <col min="9487" max="9487" width="9" style="1"/>
    <col min="9488" max="9488" width="5.625" style="1" bestFit="1" customWidth="1"/>
    <col min="9489" max="9489" width="5.625" style="1" customWidth="1"/>
    <col min="9490" max="9490" width="5.625" style="1" bestFit="1" customWidth="1"/>
    <col min="9491" max="9493" width="9" style="1"/>
    <col min="9494" max="9494" width="6.875" style="1" bestFit="1" customWidth="1"/>
    <col min="9495" max="9495" width="9" style="1"/>
    <col min="9496" max="9498" width="5.625" style="1" customWidth="1"/>
    <col min="9499" max="9499" width="7.5" style="1" customWidth="1"/>
    <col min="9500" max="9727" width="9" style="1"/>
    <col min="9728" max="9728" width="6.25" style="1" bestFit="1" customWidth="1"/>
    <col min="9729" max="9729" width="11.125" style="1" bestFit="1" customWidth="1"/>
    <col min="9730" max="9730" width="6.25" style="1" customWidth="1"/>
    <col min="9731" max="9741" width="0" style="1" hidden="1" customWidth="1"/>
    <col min="9742" max="9742" width="0.125" style="1" customWidth="1"/>
    <col min="9743" max="9743" width="9" style="1"/>
    <col min="9744" max="9744" width="5.625" style="1" bestFit="1" customWidth="1"/>
    <col min="9745" max="9745" width="5.625" style="1" customWidth="1"/>
    <col min="9746" max="9746" width="5.625" style="1" bestFit="1" customWidth="1"/>
    <col min="9747" max="9749" width="9" style="1"/>
    <col min="9750" max="9750" width="6.875" style="1" bestFit="1" customWidth="1"/>
    <col min="9751" max="9751" width="9" style="1"/>
    <col min="9752" max="9754" width="5.625" style="1" customWidth="1"/>
    <col min="9755" max="9755" width="7.5" style="1" customWidth="1"/>
    <col min="9756" max="9983" width="9" style="1"/>
    <col min="9984" max="9984" width="6.25" style="1" bestFit="1" customWidth="1"/>
    <col min="9985" max="9985" width="11.125" style="1" bestFit="1" customWidth="1"/>
    <col min="9986" max="9986" width="6.25" style="1" customWidth="1"/>
    <col min="9987" max="9997" width="0" style="1" hidden="1" customWidth="1"/>
    <col min="9998" max="9998" width="0.125" style="1" customWidth="1"/>
    <col min="9999" max="9999" width="9" style="1"/>
    <col min="10000" max="10000" width="5.625" style="1" bestFit="1" customWidth="1"/>
    <col min="10001" max="10001" width="5.625" style="1" customWidth="1"/>
    <col min="10002" max="10002" width="5.625" style="1" bestFit="1" customWidth="1"/>
    <col min="10003" max="10005" width="9" style="1"/>
    <col min="10006" max="10006" width="6.875" style="1" bestFit="1" customWidth="1"/>
    <col min="10007" max="10007" width="9" style="1"/>
    <col min="10008" max="10010" width="5.625" style="1" customWidth="1"/>
    <col min="10011" max="10011" width="7.5" style="1" customWidth="1"/>
    <col min="10012" max="10239" width="9" style="1"/>
    <col min="10240" max="10240" width="6.25" style="1" bestFit="1" customWidth="1"/>
    <col min="10241" max="10241" width="11.125" style="1" bestFit="1" customWidth="1"/>
    <col min="10242" max="10242" width="6.25" style="1" customWidth="1"/>
    <col min="10243" max="10253" width="0" style="1" hidden="1" customWidth="1"/>
    <col min="10254" max="10254" width="0.125" style="1" customWidth="1"/>
    <col min="10255" max="10255" width="9" style="1"/>
    <col min="10256" max="10256" width="5.625" style="1" bestFit="1" customWidth="1"/>
    <col min="10257" max="10257" width="5.625" style="1" customWidth="1"/>
    <col min="10258" max="10258" width="5.625" style="1" bestFit="1" customWidth="1"/>
    <col min="10259" max="10261" width="9" style="1"/>
    <col min="10262" max="10262" width="6.875" style="1" bestFit="1" customWidth="1"/>
    <col min="10263" max="10263" width="9" style="1"/>
    <col min="10264" max="10266" width="5.625" style="1" customWidth="1"/>
    <col min="10267" max="10267" width="7.5" style="1" customWidth="1"/>
    <col min="10268" max="10495" width="9" style="1"/>
    <col min="10496" max="10496" width="6.25" style="1" bestFit="1" customWidth="1"/>
    <col min="10497" max="10497" width="11.125" style="1" bestFit="1" customWidth="1"/>
    <col min="10498" max="10498" width="6.25" style="1" customWidth="1"/>
    <col min="10499" max="10509" width="0" style="1" hidden="1" customWidth="1"/>
    <col min="10510" max="10510" width="0.125" style="1" customWidth="1"/>
    <col min="10511" max="10511" width="9" style="1"/>
    <col min="10512" max="10512" width="5.625" style="1" bestFit="1" customWidth="1"/>
    <col min="10513" max="10513" width="5.625" style="1" customWidth="1"/>
    <col min="10514" max="10514" width="5.625" style="1" bestFit="1" customWidth="1"/>
    <col min="10515" max="10517" width="9" style="1"/>
    <col min="10518" max="10518" width="6.875" style="1" bestFit="1" customWidth="1"/>
    <col min="10519" max="10519" width="9" style="1"/>
    <col min="10520" max="10522" width="5.625" style="1" customWidth="1"/>
    <col min="10523" max="10523" width="7.5" style="1" customWidth="1"/>
    <col min="10524" max="10751" width="9" style="1"/>
    <col min="10752" max="10752" width="6.25" style="1" bestFit="1" customWidth="1"/>
    <col min="10753" max="10753" width="11.125" style="1" bestFit="1" customWidth="1"/>
    <col min="10754" max="10754" width="6.25" style="1" customWidth="1"/>
    <col min="10755" max="10765" width="0" style="1" hidden="1" customWidth="1"/>
    <col min="10766" max="10766" width="0.125" style="1" customWidth="1"/>
    <col min="10767" max="10767" width="9" style="1"/>
    <col min="10768" max="10768" width="5.625" style="1" bestFit="1" customWidth="1"/>
    <col min="10769" max="10769" width="5.625" style="1" customWidth="1"/>
    <col min="10770" max="10770" width="5.625" style="1" bestFit="1" customWidth="1"/>
    <col min="10771" max="10773" width="9" style="1"/>
    <col min="10774" max="10774" width="6.875" style="1" bestFit="1" customWidth="1"/>
    <col min="10775" max="10775" width="9" style="1"/>
    <col min="10776" max="10778" width="5.625" style="1" customWidth="1"/>
    <col min="10779" max="10779" width="7.5" style="1" customWidth="1"/>
    <col min="10780" max="11007" width="9" style="1"/>
    <col min="11008" max="11008" width="6.25" style="1" bestFit="1" customWidth="1"/>
    <col min="11009" max="11009" width="11.125" style="1" bestFit="1" customWidth="1"/>
    <col min="11010" max="11010" width="6.25" style="1" customWidth="1"/>
    <col min="11011" max="11021" width="0" style="1" hidden="1" customWidth="1"/>
    <col min="11022" max="11022" width="0.125" style="1" customWidth="1"/>
    <col min="11023" max="11023" width="9" style="1"/>
    <col min="11024" max="11024" width="5.625" style="1" bestFit="1" customWidth="1"/>
    <col min="11025" max="11025" width="5.625" style="1" customWidth="1"/>
    <col min="11026" max="11026" width="5.625" style="1" bestFit="1" customWidth="1"/>
    <col min="11027" max="11029" width="9" style="1"/>
    <col min="11030" max="11030" width="6.875" style="1" bestFit="1" customWidth="1"/>
    <col min="11031" max="11031" width="9" style="1"/>
    <col min="11032" max="11034" width="5.625" style="1" customWidth="1"/>
    <col min="11035" max="11035" width="7.5" style="1" customWidth="1"/>
    <col min="11036" max="11263" width="9" style="1"/>
    <col min="11264" max="11264" width="6.25" style="1" bestFit="1" customWidth="1"/>
    <col min="11265" max="11265" width="11.125" style="1" bestFit="1" customWidth="1"/>
    <col min="11266" max="11266" width="6.25" style="1" customWidth="1"/>
    <col min="11267" max="11277" width="0" style="1" hidden="1" customWidth="1"/>
    <col min="11278" max="11278" width="0.125" style="1" customWidth="1"/>
    <col min="11279" max="11279" width="9" style="1"/>
    <col min="11280" max="11280" width="5.625" style="1" bestFit="1" customWidth="1"/>
    <col min="11281" max="11281" width="5.625" style="1" customWidth="1"/>
    <col min="11282" max="11282" width="5.625" style="1" bestFit="1" customWidth="1"/>
    <col min="11283" max="11285" width="9" style="1"/>
    <col min="11286" max="11286" width="6.875" style="1" bestFit="1" customWidth="1"/>
    <col min="11287" max="11287" width="9" style="1"/>
    <col min="11288" max="11290" width="5.625" style="1" customWidth="1"/>
    <col min="11291" max="11291" width="7.5" style="1" customWidth="1"/>
    <col min="11292" max="11519" width="9" style="1"/>
    <col min="11520" max="11520" width="6.25" style="1" bestFit="1" customWidth="1"/>
    <col min="11521" max="11521" width="11.125" style="1" bestFit="1" customWidth="1"/>
    <col min="11522" max="11522" width="6.25" style="1" customWidth="1"/>
    <col min="11523" max="11533" width="0" style="1" hidden="1" customWidth="1"/>
    <col min="11534" max="11534" width="0.125" style="1" customWidth="1"/>
    <col min="11535" max="11535" width="9" style="1"/>
    <col min="11536" max="11536" width="5.625" style="1" bestFit="1" customWidth="1"/>
    <col min="11537" max="11537" width="5.625" style="1" customWidth="1"/>
    <col min="11538" max="11538" width="5.625" style="1" bestFit="1" customWidth="1"/>
    <col min="11539" max="11541" width="9" style="1"/>
    <col min="11542" max="11542" width="6.875" style="1" bestFit="1" customWidth="1"/>
    <col min="11543" max="11543" width="9" style="1"/>
    <col min="11544" max="11546" width="5.625" style="1" customWidth="1"/>
    <col min="11547" max="11547" width="7.5" style="1" customWidth="1"/>
    <col min="11548" max="11775" width="9" style="1"/>
    <col min="11776" max="11776" width="6.25" style="1" bestFit="1" customWidth="1"/>
    <col min="11777" max="11777" width="11.125" style="1" bestFit="1" customWidth="1"/>
    <col min="11778" max="11778" width="6.25" style="1" customWidth="1"/>
    <col min="11779" max="11789" width="0" style="1" hidden="1" customWidth="1"/>
    <col min="11790" max="11790" width="0.125" style="1" customWidth="1"/>
    <col min="11791" max="11791" width="9" style="1"/>
    <col min="11792" max="11792" width="5.625" style="1" bestFit="1" customWidth="1"/>
    <col min="11793" max="11793" width="5.625" style="1" customWidth="1"/>
    <col min="11794" max="11794" width="5.625" style="1" bestFit="1" customWidth="1"/>
    <col min="11795" max="11797" width="9" style="1"/>
    <col min="11798" max="11798" width="6.875" style="1" bestFit="1" customWidth="1"/>
    <col min="11799" max="11799" width="9" style="1"/>
    <col min="11800" max="11802" width="5.625" style="1" customWidth="1"/>
    <col min="11803" max="11803" width="7.5" style="1" customWidth="1"/>
    <col min="11804" max="12031" width="9" style="1"/>
    <col min="12032" max="12032" width="6.25" style="1" bestFit="1" customWidth="1"/>
    <col min="12033" max="12033" width="11.125" style="1" bestFit="1" customWidth="1"/>
    <col min="12034" max="12034" width="6.25" style="1" customWidth="1"/>
    <col min="12035" max="12045" width="0" style="1" hidden="1" customWidth="1"/>
    <col min="12046" max="12046" width="0.125" style="1" customWidth="1"/>
    <col min="12047" max="12047" width="9" style="1"/>
    <col min="12048" max="12048" width="5.625" style="1" bestFit="1" customWidth="1"/>
    <col min="12049" max="12049" width="5.625" style="1" customWidth="1"/>
    <col min="12050" max="12050" width="5.625" style="1" bestFit="1" customWidth="1"/>
    <col min="12051" max="12053" width="9" style="1"/>
    <col min="12054" max="12054" width="6.875" style="1" bestFit="1" customWidth="1"/>
    <col min="12055" max="12055" width="9" style="1"/>
    <col min="12056" max="12058" width="5.625" style="1" customWidth="1"/>
    <col min="12059" max="12059" width="7.5" style="1" customWidth="1"/>
    <col min="12060" max="12287" width="9" style="1"/>
    <col min="12288" max="12288" width="6.25" style="1" bestFit="1" customWidth="1"/>
    <col min="12289" max="12289" width="11.125" style="1" bestFit="1" customWidth="1"/>
    <col min="12290" max="12290" width="6.25" style="1" customWidth="1"/>
    <col min="12291" max="12301" width="0" style="1" hidden="1" customWidth="1"/>
    <col min="12302" max="12302" width="0.125" style="1" customWidth="1"/>
    <col min="12303" max="12303" width="9" style="1"/>
    <col min="12304" max="12304" width="5.625" style="1" bestFit="1" customWidth="1"/>
    <col min="12305" max="12305" width="5.625" style="1" customWidth="1"/>
    <col min="12306" max="12306" width="5.625" style="1" bestFit="1" customWidth="1"/>
    <col min="12307" max="12309" width="9" style="1"/>
    <col min="12310" max="12310" width="6.875" style="1" bestFit="1" customWidth="1"/>
    <col min="12311" max="12311" width="9" style="1"/>
    <col min="12312" max="12314" width="5.625" style="1" customWidth="1"/>
    <col min="12315" max="12315" width="7.5" style="1" customWidth="1"/>
    <col min="12316" max="12543" width="9" style="1"/>
    <col min="12544" max="12544" width="6.25" style="1" bestFit="1" customWidth="1"/>
    <col min="12545" max="12545" width="11.125" style="1" bestFit="1" customWidth="1"/>
    <col min="12546" max="12546" width="6.25" style="1" customWidth="1"/>
    <col min="12547" max="12557" width="0" style="1" hidden="1" customWidth="1"/>
    <col min="12558" max="12558" width="0.125" style="1" customWidth="1"/>
    <col min="12559" max="12559" width="9" style="1"/>
    <col min="12560" max="12560" width="5.625" style="1" bestFit="1" customWidth="1"/>
    <col min="12561" max="12561" width="5.625" style="1" customWidth="1"/>
    <col min="12562" max="12562" width="5.625" style="1" bestFit="1" customWidth="1"/>
    <col min="12563" max="12565" width="9" style="1"/>
    <col min="12566" max="12566" width="6.875" style="1" bestFit="1" customWidth="1"/>
    <col min="12567" max="12567" width="9" style="1"/>
    <col min="12568" max="12570" width="5.625" style="1" customWidth="1"/>
    <col min="12571" max="12571" width="7.5" style="1" customWidth="1"/>
    <col min="12572" max="12799" width="9" style="1"/>
    <col min="12800" max="12800" width="6.25" style="1" bestFit="1" customWidth="1"/>
    <col min="12801" max="12801" width="11.125" style="1" bestFit="1" customWidth="1"/>
    <col min="12802" max="12802" width="6.25" style="1" customWidth="1"/>
    <col min="12803" max="12813" width="0" style="1" hidden="1" customWidth="1"/>
    <col min="12814" max="12814" width="0.125" style="1" customWidth="1"/>
    <col min="12815" max="12815" width="9" style="1"/>
    <col min="12816" max="12816" width="5.625" style="1" bestFit="1" customWidth="1"/>
    <col min="12817" max="12817" width="5.625" style="1" customWidth="1"/>
    <col min="12818" max="12818" width="5.625" style="1" bestFit="1" customWidth="1"/>
    <col min="12819" max="12821" width="9" style="1"/>
    <col min="12822" max="12822" width="6.875" style="1" bestFit="1" customWidth="1"/>
    <col min="12823" max="12823" width="9" style="1"/>
    <col min="12824" max="12826" width="5.625" style="1" customWidth="1"/>
    <col min="12827" max="12827" width="7.5" style="1" customWidth="1"/>
    <col min="12828" max="13055" width="9" style="1"/>
    <col min="13056" max="13056" width="6.25" style="1" bestFit="1" customWidth="1"/>
    <col min="13057" max="13057" width="11.125" style="1" bestFit="1" customWidth="1"/>
    <col min="13058" max="13058" width="6.25" style="1" customWidth="1"/>
    <col min="13059" max="13069" width="0" style="1" hidden="1" customWidth="1"/>
    <col min="13070" max="13070" width="0.125" style="1" customWidth="1"/>
    <col min="13071" max="13071" width="9" style="1"/>
    <col min="13072" max="13072" width="5.625" style="1" bestFit="1" customWidth="1"/>
    <col min="13073" max="13073" width="5.625" style="1" customWidth="1"/>
    <col min="13074" max="13074" width="5.625" style="1" bestFit="1" customWidth="1"/>
    <col min="13075" max="13077" width="9" style="1"/>
    <col min="13078" max="13078" width="6.875" style="1" bestFit="1" customWidth="1"/>
    <col min="13079" max="13079" width="9" style="1"/>
    <col min="13080" max="13082" width="5.625" style="1" customWidth="1"/>
    <col min="13083" max="13083" width="7.5" style="1" customWidth="1"/>
    <col min="13084" max="13311" width="9" style="1"/>
    <col min="13312" max="13312" width="6.25" style="1" bestFit="1" customWidth="1"/>
    <col min="13313" max="13313" width="11.125" style="1" bestFit="1" customWidth="1"/>
    <col min="13314" max="13314" width="6.25" style="1" customWidth="1"/>
    <col min="13315" max="13325" width="0" style="1" hidden="1" customWidth="1"/>
    <col min="13326" max="13326" width="0.125" style="1" customWidth="1"/>
    <col min="13327" max="13327" width="9" style="1"/>
    <col min="13328" max="13328" width="5.625" style="1" bestFit="1" customWidth="1"/>
    <col min="13329" max="13329" width="5.625" style="1" customWidth="1"/>
    <col min="13330" max="13330" width="5.625" style="1" bestFit="1" customWidth="1"/>
    <col min="13331" max="13333" width="9" style="1"/>
    <col min="13334" max="13334" width="6.875" style="1" bestFit="1" customWidth="1"/>
    <col min="13335" max="13335" width="9" style="1"/>
    <col min="13336" max="13338" width="5.625" style="1" customWidth="1"/>
    <col min="13339" max="13339" width="7.5" style="1" customWidth="1"/>
    <col min="13340" max="13567" width="9" style="1"/>
    <col min="13568" max="13568" width="6.25" style="1" bestFit="1" customWidth="1"/>
    <col min="13569" max="13569" width="11.125" style="1" bestFit="1" customWidth="1"/>
    <col min="13570" max="13570" width="6.25" style="1" customWidth="1"/>
    <col min="13571" max="13581" width="0" style="1" hidden="1" customWidth="1"/>
    <col min="13582" max="13582" width="0.125" style="1" customWidth="1"/>
    <col min="13583" max="13583" width="9" style="1"/>
    <col min="13584" max="13584" width="5.625" style="1" bestFit="1" customWidth="1"/>
    <col min="13585" max="13585" width="5.625" style="1" customWidth="1"/>
    <col min="13586" max="13586" width="5.625" style="1" bestFit="1" customWidth="1"/>
    <col min="13587" max="13589" width="9" style="1"/>
    <col min="13590" max="13590" width="6.875" style="1" bestFit="1" customWidth="1"/>
    <col min="13591" max="13591" width="9" style="1"/>
    <col min="13592" max="13594" width="5.625" style="1" customWidth="1"/>
    <col min="13595" max="13595" width="7.5" style="1" customWidth="1"/>
    <col min="13596" max="13823" width="9" style="1"/>
    <col min="13824" max="13824" width="6.25" style="1" bestFit="1" customWidth="1"/>
    <col min="13825" max="13825" width="11.125" style="1" bestFit="1" customWidth="1"/>
    <col min="13826" max="13826" width="6.25" style="1" customWidth="1"/>
    <col min="13827" max="13837" width="0" style="1" hidden="1" customWidth="1"/>
    <col min="13838" max="13838" width="0.125" style="1" customWidth="1"/>
    <col min="13839" max="13839" width="9" style="1"/>
    <col min="13840" max="13840" width="5.625" style="1" bestFit="1" customWidth="1"/>
    <col min="13841" max="13841" width="5.625" style="1" customWidth="1"/>
    <col min="13842" max="13842" width="5.625" style="1" bestFit="1" customWidth="1"/>
    <col min="13843" max="13845" width="9" style="1"/>
    <col min="13846" max="13846" width="6.875" style="1" bestFit="1" customWidth="1"/>
    <col min="13847" max="13847" width="9" style="1"/>
    <col min="13848" max="13850" width="5.625" style="1" customWidth="1"/>
    <col min="13851" max="13851" width="7.5" style="1" customWidth="1"/>
    <col min="13852" max="14079" width="9" style="1"/>
    <col min="14080" max="14080" width="6.25" style="1" bestFit="1" customWidth="1"/>
    <col min="14081" max="14081" width="11.125" style="1" bestFit="1" customWidth="1"/>
    <col min="14082" max="14082" width="6.25" style="1" customWidth="1"/>
    <col min="14083" max="14093" width="0" style="1" hidden="1" customWidth="1"/>
    <col min="14094" max="14094" width="0.125" style="1" customWidth="1"/>
    <col min="14095" max="14095" width="9" style="1"/>
    <col min="14096" max="14096" width="5.625" style="1" bestFit="1" customWidth="1"/>
    <col min="14097" max="14097" width="5.625" style="1" customWidth="1"/>
    <col min="14098" max="14098" width="5.625" style="1" bestFit="1" customWidth="1"/>
    <col min="14099" max="14101" width="9" style="1"/>
    <col min="14102" max="14102" width="6.875" style="1" bestFit="1" customWidth="1"/>
    <col min="14103" max="14103" width="9" style="1"/>
    <col min="14104" max="14106" width="5.625" style="1" customWidth="1"/>
    <col min="14107" max="14107" width="7.5" style="1" customWidth="1"/>
    <col min="14108" max="14335" width="9" style="1"/>
    <col min="14336" max="14336" width="6.25" style="1" bestFit="1" customWidth="1"/>
    <col min="14337" max="14337" width="11.125" style="1" bestFit="1" customWidth="1"/>
    <col min="14338" max="14338" width="6.25" style="1" customWidth="1"/>
    <col min="14339" max="14349" width="0" style="1" hidden="1" customWidth="1"/>
    <col min="14350" max="14350" width="0.125" style="1" customWidth="1"/>
    <col min="14351" max="14351" width="9" style="1"/>
    <col min="14352" max="14352" width="5.625" style="1" bestFit="1" customWidth="1"/>
    <col min="14353" max="14353" width="5.625" style="1" customWidth="1"/>
    <col min="14354" max="14354" width="5.625" style="1" bestFit="1" customWidth="1"/>
    <col min="14355" max="14357" width="9" style="1"/>
    <col min="14358" max="14358" width="6.875" style="1" bestFit="1" customWidth="1"/>
    <col min="14359" max="14359" width="9" style="1"/>
    <col min="14360" max="14362" width="5.625" style="1" customWidth="1"/>
    <col min="14363" max="14363" width="7.5" style="1" customWidth="1"/>
    <col min="14364" max="14591" width="9" style="1"/>
    <col min="14592" max="14592" width="6.25" style="1" bestFit="1" customWidth="1"/>
    <col min="14593" max="14593" width="11.125" style="1" bestFit="1" customWidth="1"/>
    <col min="14594" max="14594" width="6.25" style="1" customWidth="1"/>
    <col min="14595" max="14605" width="0" style="1" hidden="1" customWidth="1"/>
    <col min="14606" max="14606" width="0.125" style="1" customWidth="1"/>
    <col min="14607" max="14607" width="9" style="1"/>
    <col min="14608" max="14608" width="5.625" style="1" bestFit="1" customWidth="1"/>
    <col min="14609" max="14609" width="5.625" style="1" customWidth="1"/>
    <col min="14610" max="14610" width="5.625" style="1" bestFit="1" customWidth="1"/>
    <col min="14611" max="14613" width="9" style="1"/>
    <col min="14614" max="14614" width="6.875" style="1" bestFit="1" customWidth="1"/>
    <col min="14615" max="14615" width="9" style="1"/>
    <col min="14616" max="14618" width="5.625" style="1" customWidth="1"/>
    <col min="14619" max="14619" width="7.5" style="1" customWidth="1"/>
    <col min="14620" max="14847" width="9" style="1"/>
    <col min="14848" max="14848" width="6.25" style="1" bestFit="1" customWidth="1"/>
    <col min="14849" max="14849" width="11.125" style="1" bestFit="1" customWidth="1"/>
    <col min="14850" max="14850" width="6.25" style="1" customWidth="1"/>
    <col min="14851" max="14861" width="0" style="1" hidden="1" customWidth="1"/>
    <col min="14862" max="14862" width="0.125" style="1" customWidth="1"/>
    <col min="14863" max="14863" width="9" style="1"/>
    <col min="14864" max="14864" width="5.625" style="1" bestFit="1" customWidth="1"/>
    <col min="14865" max="14865" width="5.625" style="1" customWidth="1"/>
    <col min="14866" max="14866" width="5.625" style="1" bestFit="1" customWidth="1"/>
    <col min="14867" max="14869" width="9" style="1"/>
    <col min="14870" max="14870" width="6.875" style="1" bestFit="1" customWidth="1"/>
    <col min="14871" max="14871" width="9" style="1"/>
    <col min="14872" max="14874" width="5.625" style="1" customWidth="1"/>
    <col min="14875" max="14875" width="7.5" style="1" customWidth="1"/>
    <col min="14876" max="15103" width="9" style="1"/>
    <col min="15104" max="15104" width="6.25" style="1" bestFit="1" customWidth="1"/>
    <col min="15105" max="15105" width="11.125" style="1" bestFit="1" customWidth="1"/>
    <col min="15106" max="15106" width="6.25" style="1" customWidth="1"/>
    <col min="15107" max="15117" width="0" style="1" hidden="1" customWidth="1"/>
    <col min="15118" max="15118" width="0.125" style="1" customWidth="1"/>
    <col min="15119" max="15119" width="9" style="1"/>
    <col min="15120" max="15120" width="5.625" style="1" bestFit="1" customWidth="1"/>
    <col min="15121" max="15121" width="5.625" style="1" customWidth="1"/>
    <col min="15122" max="15122" width="5.625" style="1" bestFit="1" customWidth="1"/>
    <col min="15123" max="15125" width="9" style="1"/>
    <col min="15126" max="15126" width="6.875" style="1" bestFit="1" customWidth="1"/>
    <col min="15127" max="15127" width="9" style="1"/>
    <col min="15128" max="15130" width="5.625" style="1" customWidth="1"/>
    <col min="15131" max="15131" width="7.5" style="1" customWidth="1"/>
    <col min="15132" max="15359" width="9" style="1"/>
    <col min="15360" max="15360" width="6.25" style="1" bestFit="1" customWidth="1"/>
    <col min="15361" max="15361" width="11.125" style="1" bestFit="1" customWidth="1"/>
    <col min="15362" max="15362" width="6.25" style="1" customWidth="1"/>
    <col min="15363" max="15373" width="0" style="1" hidden="1" customWidth="1"/>
    <col min="15374" max="15374" width="0.125" style="1" customWidth="1"/>
    <col min="15375" max="15375" width="9" style="1"/>
    <col min="15376" max="15376" width="5.625" style="1" bestFit="1" customWidth="1"/>
    <col min="15377" max="15377" width="5.625" style="1" customWidth="1"/>
    <col min="15378" max="15378" width="5.625" style="1" bestFit="1" customWidth="1"/>
    <col min="15379" max="15381" width="9" style="1"/>
    <col min="15382" max="15382" width="6.875" style="1" bestFit="1" customWidth="1"/>
    <col min="15383" max="15383" width="9" style="1"/>
    <col min="15384" max="15386" width="5.625" style="1" customWidth="1"/>
    <col min="15387" max="15387" width="7.5" style="1" customWidth="1"/>
    <col min="15388" max="15615" width="9" style="1"/>
    <col min="15616" max="15616" width="6.25" style="1" bestFit="1" customWidth="1"/>
    <col min="15617" max="15617" width="11.125" style="1" bestFit="1" customWidth="1"/>
    <col min="15618" max="15618" width="6.25" style="1" customWidth="1"/>
    <col min="15619" max="15629" width="0" style="1" hidden="1" customWidth="1"/>
    <col min="15630" max="15630" width="0.125" style="1" customWidth="1"/>
    <col min="15631" max="15631" width="9" style="1"/>
    <col min="15632" max="15632" width="5.625" style="1" bestFit="1" customWidth="1"/>
    <col min="15633" max="15633" width="5.625" style="1" customWidth="1"/>
    <col min="15634" max="15634" width="5.625" style="1" bestFit="1" customWidth="1"/>
    <col min="15635" max="15637" width="9" style="1"/>
    <col min="15638" max="15638" width="6.875" style="1" bestFit="1" customWidth="1"/>
    <col min="15639" max="15639" width="9" style="1"/>
    <col min="15640" max="15642" width="5.625" style="1" customWidth="1"/>
    <col min="15643" max="15643" width="7.5" style="1" customWidth="1"/>
    <col min="15644" max="15871" width="9" style="1"/>
    <col min="15872" max="15872" width="6.25" style="1" bestFit="1" customWidth="1"/>
    <col min="15873" max="15873" width="11.125" style="1" bestFit="1" customWidth="1"/>
    <col min="15874" max="15874" width="6.25" style="1" customWidth="1"/>
    <col min="15875" max="15885" width="0" style="1" hidden="1" customWidth="1"/>
    <col min="15886" max="15886" width="0.125" style="1" customWidth="1"/>
    <col min="15887" max="15887" width="9" style="1"/>
    <col min="15888" max="15888" width="5.625" style="1" bestFit="1" customWidth="1"/>
    <col min="15889" max="15889" width="5.625" style="1" customWidth="1"/>
    <col min="15890" max="15890" width="5.625" style="1" bestFit="1" customWidth="1"/>
    <col min="15891" max="15893" width="9" style="1"/>
    <col min="15894" max="15894" width="6.875" style="1" bestFit="1" customWidth="1"/>
    <col min="15895" max="15895" width="9" style="1"/>
    <col min="15896" max="15898" width="5.625" style="1" customWidth="1"/>
    <col min="15899" max="15899" width="7.5" style="1" customWidth="1"/>
    <col min="15900" max="16127" width="9" style="1"/>
    <col min="16128" max="16128" width="6.25" style="1" bestFit="1" customWidth="1"/>
    <col min="16129" max="16129" width="11.125" style="1" bestFit="1" customWidth="1"/>
    <col min="16130" max="16130" width="6.25" style="1" customWidth="1"/>
    <col min="16131" max="16141" width="0" style="1" hidden="1" customWidth="1"/>
    <col min="16142" max="16142" width="0.125" style="1" customWidth="1"/>
    <col min="16143" max="16143" width="9" style="1"/>
    <col min="16144" max="16144" width="5.625" style="1" bestFit="1" customWidth="1"/>
    <col min="16145" max="16145" width="5.625" style="1" customWidth="1"/>
    <col min="16146" max="16146" width="5.625" style="1" bestFit="1" customWidth="1"/>
    <col min="16147" max="16149" width="9" style="1"/>
    <col min="16150" max="16150" width="6.875" style="1" bestFit="1" customWidth="1"/>
    <col min="16151" max="16151" width="9" style="1"/>
    <col min="16152" max="16154" width="5.625" style="1" customWidth="1"/>
    <col min="16155" max="16155" width="7.5" style="1" customWidth="1"/>
    <col min="16156" max="16384" width="9" style="1"/>
  </cols>
  <sheetData>
    <row r="1" spans="1:34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62" t="s">
        <v>2</v>
      </c>
      <c r="M1" s="63"/>
      <c r="N1" s="63"/>
      <c r="O1" s="64"/>
      <c r="P1" s="65" t="s">
        <v>89</v>
      </c>
      <c r="Q1" s="66"/>
      <c r="R1" s="66"/>
      <c r="S1" s="66"/>
      <c r="T1" s="66"/>
      <c r="U1" s="66"/>
      <c r="V1" s="66"/>
      <c r="W1" s="66"/>
      <c r="X1" s="67" t="s">
        <v>88</v>
      </c>
      <c r="Y1" s="68"/>
      <c r="Z1" s="68"/>
      <c r="AA1" s="68"/>
      <c r="AB1" s="68"/>
      <c r="AC1" s="68"/>
      <c r="AD1" s="68"/>
      <c r="AE1" s="68"/>
    </row>
    <row r="2" spans="1:34" ht="12" thickBot="1">
      <c r="C2" s="4" t="s">
        <v>3</v>
      </c>
      <c r="D2" s="5" t="str">
        <f>P2</f>
        <v>kbps</v>
      </c>
      <c r="E2" s="5" t="str">
        <f>R2</f>
        <v>U psnr</v>
      </c>
      <c r="F2" s="5" t="str">
        <f>P2</f>
        <v>kbps</v>
      </c>
      <c r="G2" s="5" t="str">
        <f>S2</f>
        <v>V psnr</v>
      </c>
      <c r="H2" s="5" t="str">
        <f>X2</f>
        <v>kbps</v>
      </c>
      <c r="I2" s="5" t="str">
        <f>Z2</f>
        <v>U psnr</v>
      </c>
      <c r="J2" s="5" t="str">
        <f>X2</f>
        <v>kbps</v>
      </c>
      <c r="K2" s="6" t="str">
        <f>AA2</f>
        <v>V psnr</v>
      </c>
      <c r="L2" s="7" t="s">
        <v>4</v>
      </c>
      <c r="M2" s="8" t="s">
        <v>5</v>
      </c>
      <c r="N2" s="8" t="s">
        <v>6</v>
      </c>
      <c r="O2" s="9" t="s">
        <v>7</v>
      </c>
      <c r="P2" s="8" t="s">
        <v>4</v>
      </c>
      <c r="Q2" s="8" t="s">
        <v>5</v>
      </c>
      <c r="R2" s="8" t="s">
        <v>6</v>
      </c>
      <c r="S2" s="8" t="s">
        <v>7</v>
      </c>
      <c r="T2" s="8" t="s">
        <v>8</v>
      </c>
      <c r="U2" s="8" t="s">
        <v>9</v>
      </c>
      <c r="V2" s="8" t="s">
        <v>10</v>
      </c>
      <c r="W2" s="10">
        <f>IF(COUNTIF(W3:W74,"!"),COUNTIF(W3:W74,"!"),"")</f>
        <v>44</v>
      </c>
      <c r="X2" s="8" t="s">
        <v>4</v>
      </c>
      <c r="Y2" s="8" t="s">
        <v>5</v>
      </c>
      <c r="Z2" s="8" t="s">
        <v>6</v>
      </c>
      <c r="AA2" s="8" t="s">
        <v>7</v>
      </c>
      <c r="AB2" s="8" t="s">
        <v>11</v>
      </c>
      <c r="AC2" s="8" t="s">
        <v>9</v>
      </c>
      <c r="AD2" s="8" t="s">
        <v>10</v>
      </c>
      <c r="AE2" s="11" t="s">
        <v>12</v>
      </c>
      <c r="AF2" s="11" t="s">
        <v>13</v>
      </c>
      <c r="AG2" s="11" t="s">
        <v>14</v>
      </c>
      <c r="AH2" s="11" t="s">
        <v>71</v>
      </c>
    </row>
    <row r="3" spans="1:34" ht="12" thickBot="1">
      <c r="A3" s="12" t="s">
        <v>15</v>
      </c>
      <c r="B3" s="12" t="s">
        <v>16</v>
      </c>
      <c r="C3" s="12">
        <v>22</v>
      </c>
      <c r="D3" s="13">
        <f t="shared" ref="D3:D66" si="0">P3</f>
        <v>0</v>
      </c>
      <c r="E3" s="13">
        <f t="shared" ref="E3:E66" si="1">R3</f>
        <v>0</v>
      </c>
      <c r="F3" s="13">
        <f t="shared" ref="F3:F66" si="2">P3</f>
        <v>0</v>
      </c>
      <c r="G3" s="13">
        <f t="shared" ref="G3:G66" si="3">S3</f>
        <v>0</v>
      </c>
      <c r="H3" s="13">
        <f t="shared" ref="H3:H66" si="4">X3</f>
        <v>0</v>
      </c>
      <c r="I3" s="13">
        <f t="shared" ref="I3:I66" si="5">Z3</f>
        <v>0</v>
      </c>
      <c r="J3" s="13">
        <f t="shared" ref="J3:J66" si="6">X3</f>
        <v>0</v>
      </c>
      <c r="K3" s="14">
        <f t="shared" ref="K3:K66" si="7">AA3</f>
        <v>0</v>
      </c>
      <c r="L3" s="15">
        <v>105780.3248</v>
      </c>
      <c r="M3" s="15">
        <v>43.515099999999997</v>
      </c>
      <c r="N3" s="15">
        <v>42.966799999999999</v>
      </c>
      <c r="O3" s="15">
        <v>44.756599999999999</v>
      </c>
      <c r="P3" s="16"/>
      <c r="Q3" s="16"/>
      <c r="R3" s="16"/>
      <c r="S3" s="16"/>
      <c r="T3" s="16"/>
      <c r="U3" s="17"/>
      <c r="V3" s="18">
        <f t="shared" ref="V3:V66" si="8">T3/3600</f>
        <v>0</v>
      </c>
      <c r="W3" s="21" t="str">
        <f t="shared" ref="W3:W66" si="9">IF(OR(AND(P3="",Q3="",R3="",S3=""),AND(L3=P3,M3=Q3,N3=R3,O3=S3)),"","!")</f>
        <v/>
      </c>
      <c r="X3" s="16"/>
      <c r="Y3" s="16"/>
      <c r="Z3" s="16"/>
      <c r="AA3" s="16"/>
      <c r="AB3" s="16"/>
      <c r="AC3" s="16"/>
      <c r="AD3" s="18">
        <f t="shared" ref="AD3:AD66" si="10">AB3/3600</f>
        <v>0</v>
      </c>
      <c r="AE3" s="19" t="e">
        <f>RBJM($P3:$Q6,X3:Y6)</f>
        <v>#VALUE!</v>
      </c>
      <c r="AF3" s="19" t="e">
        <f>RBJM($D3:$E6,H3:I6)</f>
        <v>#VALUE!</v>
      </c>
      <c r="AG3" s="19" t="e">
        <f>RBJM($F3:$G6,J3:K6)</f>
        <v>#VALUE!</v>
      </c>
      <c r="AH3" s="19" t="e">
        <f t="shared" ref="AH3:AH21" si="11">AB3/T3</f>
        <v>#DIV/0!</v>
      </c>
    </row>
    <row r="4" spans="1:34" ht="12" thickBot="1">
      <c r="A4" s="20" t="s">
        <v>17</v>
      </c>
      <c r="B4" s="20" t="s">
        <v>18</v>
      </c>
      <c r="C4" s="20">
        <v>27</v>
      </c>
      <c r="D4" s="13">
        <f t="shared" si="0"/>
        <v>0</v>
      </c>
      <c r="E4" s="13">
        <f t="shared" si="1"/>
        <v>0</v>
      </c>
      <c r="F4" s="13">
        <f t="shared" si="2"/>
        <v>0</v>
      </c>
      <c r="G4" s="13">
        <f t="shared" si="3"/>
        <v>0</v>
      </c>
      <c r="H4" s="13">
        <f t="shared" si="4"/>
        <v>0</v>
      </c>
      <c r="I4" s="13">
        <f t="shared" si="5"/>
        <v>0</v>
      </c>
      <c r="J4" s="13">
        <f t="shared" si="6"/>
        <v>0</v>
      </c>
      <c r="K4" s="14">
        <f t="shared" si="7"/>
        <v>0</v>
      </c>
      <c r="L4" s="18">
        <v>59825.139199999998</v>
      </c>
      <c r="M4" s="18">
        <v>40.2761</v>
      </c>
      <c r="N4" s="18">
        <v>40.3063</v>
      </c>
      <c r="O4" s="18">
        <v>42.303199999999997</v>
      </c>
      <c r="P4" s="16"/>
      <c r="Q4" s="16"/>
      <c r="R4" s="16"/>
      <c r="S4" s="16"/>
      <c r="T4" s="16"/>
      <c r="U4" s="17"/>
      <c r="V4" s="18">
        <f t="shared" si="8"/>
        <v>0</v>
      </c>
      <c r="W4" s="21" t="str">
        <f t="shared" si="9"/>
        <v/>
      </c>
      <c r="X4" s="16"/>
      <c r="Y4" s="16"/>
      <c r="Z4" s="16"/>
      <c r="AA4" s="16"/>
      <c r="AB4" s="16"/>
      <c r="AC4" s="16"/>
      <c r="AD4" s="18">
        <f t="shared" si="10"/>
        <v>0</v>
      </c>
      <c r="AE4" s="22"/>
      <c r="AF4" s="22"/>
      <c r="AG4" s="22"/>
      <c r="AH4" s="19" t="e">
        <f t="shared" si="11"/>
        <v>#DIV/0!</v>
      </c>
    </row>
    <row r="5" spans="1:34" ht="12" thickBot="1">
      <c r="A5" s="20"/>
      <c r="B5" s="20"/>
      <c r="C5" s="20">
        <v>32</v>
      </c>
      <c r="D5" s="13">
        <f t="shared" si="0"/>
        <v>0</v>
      </c>
      <c r="E5" s="13">
        <f t="shared" si="1"/>
        <v>0</v>
      </c>
      <c r="F5" s="13">
        <f t="shared" si="2"/>
        <v>0</v>
      </c>
      <c r="G5" s="13">
        <f t="shared" si="3"/>
        <v>0</v>
      </c>
      <c r="H5" s="13">
        <f t="shared" si="4"/>
        <v>0</v>
      </c>
      <c r="I5" s="13">
        <f t="shared" si="5"/>
        <v>0</v>
      </c>
      <c r="J5" s="13">
        <f t="shared" si="6"/>
        <v>0</v>
      </c>
      <c r="K5" s="14">
        <f t="shared" si="7"/>
        <v>0</v>
      </c>
      <c r="L5" s="18">
        <v>33767.529600000002</v>
      </c>
      <c r="M5" s="18">
        <v>37.241599999999998</v>
      </c>
      <c r="N5" s="18">
        <v>38.250500000000002</v>
      </c>
      <c r="O5" s="18">
        <v>40.392200000000003</v>
      </c>
      <c r="P5" s="16"/>
      <c r="Q5" s="16"/>
      <c r="R5" s="16"/>
      <c r="S5" s="16"/>
      <c r="T5" s="16"/>
      <c r="U5" s="17"/>
      <c r="V5" s="18">
        <f t="shared" si="8"/>
        <v>0</v>
      </c>
      <c r="W5" s="21" t="str">
        <f t="shared" si="9"/>
        <v/>
      </c>
      <c r="X5" s="16"/>
      <c r="Y5" s="16"/>
      <c r="Z5" s="16"/>
      <c r="AA5" s="16"/>
      <c r="AB5" s="16"/>
      <c r="AC5" s="16"/>
      <c r="AD5" s="18">
        <f t="shared" si="10"/>
        <v>0</v>
      </c>
      <c r="AE5" s="22"/>
      <c r="AF5" s="22"/>
      <c r="AG5" s="22"/>
      <c r="AH5" s="19" t="e">
        <f t="shared" si="11"/>
        <v>#DIV/0!</v>
      </c>
    </row>
    <row r="6" spans="1:34" ht="12" thickBot="1">
      <c r="A6" s="20"/>
      <c r="B6" s="23"/>
      <c r="C6" s="23">
        <v>37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4"/>
        <v>0</v>
      </c>
      <c r="I6" s="24">
        <f t="shared" si="5"/>
        <v>0</v>
      </c>
      <c r="J6" s="24">
        <f t="shared" si="6"/>
        <v>0</v>
      </c>
      <c r="K6" s="25">
        <f t="shared" si="7"/>
        <v>0</v>
      </c>
      <c r="L6" s="26">
        <v>18753.2912</v>
      </c>
      <c r="M6" s="26">
        <v>34.274500000000003</v>
      </c>
      <c r="N6" s="26">
        <v>36.4377</v>
      </c>
      <c r="O6" s="26">
        <v>38.816299999999998</v>
      </c>
      <c r="P6" s="27"/>
      <c r="Q6" s="27"/>
      <c r="R6" s="27"/>
      <c r="S6" s="27"/>
      <c r="T6" s="27"/>
      <c r="U6" s="28"/>
      <c r="V6" s="26">
        <f t="shared" si="8"/>
        <v>0</v>
      </c>
      <c r="W6" s="21" t="str">
        <f t="shared" si="9"/>
        <v/>
      </c>
      <c r="X6" s="27"/>
      <c r="Y6" s="27"/>
      <c r="Z6" s="27"/>
      <c r="AA6" s="27"/>
      <c r="AB6" s="27"/>
      <c r="AC6" s="27"/>
      <c r="AD6" s="26">
        <f t="shared" si="10"/>
        <v>0</v>
      </c>
      <c r="AE6" s="23"/>
      <c r="AF6" s="23"/>
      <c r="AG6" s="23"/>
      <c r="AH6" s="19" t="e">
        <f t="shared" si="11"/>
        <v>#DIV/0!</v>
      </c>
    </row>
    <row r="7" spans="1:34" ht="12" thickBot="1">
      <c r="A7" s="20"/>
      <c r="B7" s="20" t="s">
        <v>19</v>
      </c>
      <c r="C7" s="12">
        <v>22</v>
      </c>
      <c r="D7" s="13">
        <f t="shared" si="0"/>
        <v>0</v>
      </c>
      <c r="E7" s="13">
        <f t="shared" si="1"/>
        <v>0</v>
      </c>
      <c r="F7" s="13">
        <f t="shared" si="2"/>
        <v>0</v>
      </c>
      <c r="G7" s="13">
        <f t="shared" si="3"/>
        <v>0</v>
      </c>
      <c r="H7" s="13">
        <f t="shared" si="4"/>
        <v>0</v>
      </c>
      <c r="I7" s="13">
        <f t="shared" si="5"/>
        <v>0</v>
      </c>
      <c r="J7" s="13">
        <f t="shared" si="6"/>
        <v>0</v>
      </c>
      <c r="K7" s="14">
        <f t="shared" si="7"/>
        <v>0</v>
      </c>
      <c r="L7" s="18">
        <v>107745.1072</v>
      </c>
      <c r="M7" s="18">
        <v>43.4343</v>
      </c>
      <c r="N7" s="18">
        <v>45.640700000000002</v>
      </c>
      <c r="O7" s="18">
        <v>45.311799999999998</v>
      </c>
      <c r="P7" s="29"/>
      <c r="Q7" s="29"/>
      <c r="R7" s="29"/>
      <c r="S7" s="29"/>
      <c r="T7" s="16"/>
      <c r="U7" s="17"/>
      <c r="V7" s="18">
        <f t="shared" si="8"/>
        <v>0</v>
      </c>
      <c r="W7" s="21" t="str">
        <f t="shared" si="9"/>
        <v/>
      </c>
      <c r="X7" s="29"/>
      <c r="Y7" s="29"/>
      <c r="Z7" s="29"/>
      <c r="AA7" s="29"/>
      <c r="AB7" s="16"/>
      <c r="AC7" s="16"/>
      <c r="AD7" s="18">
        <f t="shared" si="10"/>
        <v>0</v>
      </c>
      <c r="AE7" s="19" t="e">
        <f>RBJM($P7:$Q10,X7:Y10)</f>
        <v>#VALUE!</v>
      </c>
      <c r="AF7" s="19" t="e">
        <f>RBJM($D7:$E10,H7:I10)</f>
        <v>#VALUE!</v>
      </c>
      <c r="AG7" s="19" t="e">
        <f>RBJM($F7:$G10,J7:K10)</f>
        <v>#VALUE!</v>
      </c>
      <c r="AH7" s="19" t="e">
        <f t="shared" si="11"/>
        <v>#DIV/0!</v>
      </c>
    </row>
    <row r="8" spans="1:34" ht="12" thickBot="1">
      <c r="A8" s="20"/>
      <c r="B8" s="20" t="s">
        <v>20</v>
      </c>
      <c r="C8" s="20">
        <v>27</v>
      </c>
      <c r="D8" s="13">
        <f t="shared" si="0"/>
        <v>0</v>
      </c>
      <c r="E8" s="13">
        <f t="shared" si="1"/>
        <v>0</v>
      </c>
      <c r="F8" s="13">
        <f t="shared" si="2"/>
        <v>0</v>
      </c>
      <c r="G8" s="13">
        <f t="shared" si="3"/>
        <v>0</v>
      </c>
      <c r="H8" s="13">
        <f t="shared" si="4"/>
        <v>0</v>
      </c>
      <c r="I8" s="13">
        <f t="shared" si="5"/>
        <v>0</v>
      </c>
      <c r="J8" s="13">
        <f t="shared" si="6"/>
        <v>0</v>
      </c>
      <c r="K8" s="14">
        <f t="shared" si="7"/>
        <v>0</v>
      </c>
      <c r="L8" s="18">
        <v>63156.767999999996</v>
      </c>
      <c r="M8" s="18">
        <v>39.934199999999997</v>
      </c>
      <c r="N8" s="18">
        <v>43.405500000000004</v>
      </c>
      <c r="O8" s="18">
        <v>43.6325</v>
      </c>
      <c r="P8" s="16"/>
      <c r="Q8" s="16"/>
      <c r="R8" s="16"/>
      <c r="S8" s="16"/>
      <c r="T8" s="16"/>
      <c r="U8" s="17"/>
      <c r="V8" s="18">
        <f t="shared" si="8"/>
        <v>0</v>
      </c>
      <c r="W8" s="21" t="str">
        <f t="shared" si="9"/>
        <v/>
      </c>
      <c r="X8" s="16"/>
      <c r="Y8" s="16"/>
      <c r="Z8" s="16"/>
      <c r="AA8" s="16"/>
      <c r="AB8" s="16"/>
      <c r="AC8" s="16"/>
      <c r="AD8" s="18">
        <f t="shared" si="10"/>
        <v>0</v>
      </c>
      <c r="AE8" s="22"/>
      <c r="AF8" s="22"/>
      <c r="AG8" s="22"/>
      <c r="AH8" s="19" t="e">
        <f t="shared" si="11"/>
        <v>#DIV/0!</v>
      </c>
    </row>
    <row r="9" spans="1:34" ht="12" thickBot="1">
      <c r="A9" s="20"/>
      <c r="B9" s="20"/>
      <c r="C9" s="20">
        <v>32</v>
      </c>
      <c r="D9" s="13">
        <f t="shared" si="0"/>
        <v>0</v>
      </c>
      <c r="E9" s="13">
        <f t="shared" si="1"/>
        <v>0</v>
      </c>
      <c r="F9" s="13">
        <f t="shared" si="2"/>
        <v>0</v>
      </c>
      <c r="G9" s="13">
        <f t="shared" si="3"/>
        <v>0</v>
      </c>
      <c r="H9" s="13">
        <f t="shared" si="4"/>
        <v>0</v>
      </c>
      <c r="I9" s="13">
        <f t="shared" si="5"/>
        <v>0</v>
      </c>
      <c r="J9" s="13">
        <f t="shared" si="6"/>
        <v>0</v>
      </c>
      <c r="K9" s="14">
        <f t="shared" si="7"/>
        <v>0</v>
      </c>
      <c r="L9" s="18">
        <v>36189.193599999999</v>
      </c>
      <c r="M9" s="18">
        <v>36.848500000000001</v>
      </c>
      <c r="N9" s="18">
        <v>41.409500000000001</v>
      </c>
      <c r="O9" s="18">
        <v>42.0473</v>
      </c>
      <c r="P9" s="16"/>
      <c r="Q9" s="16"/>
      <c r="R9" s="16"/>
      <c r="S9" s="16"/>
      <c r="T9" s="16"/>
      <c r="U9" s="17"/>
      <c r="V9" s="18">
        <f t="shared" si="8"/>
        <v>0</v>
      </c>
      <c r="W9" s="21" t="str">
        <f t="shared" si="9"/>
        <v/>
      </c>
      <c r="X9" s="16"/>
      <c r="Y9" s="16"/>
      <c r="Z9" s="16"/>
      <c r="AA9" s="16"/>
      <c r="AB9" s="16"/>
      <c r="AC9" s="16"/>
      <c r="AD9" s="18">
        <f t="shared" si="10"/>
        <v>0</v>
      </c>
      <c r="AE9" s="22"/>
      <c r="AF9" s="22"/>
      <c r="AG9" s="22"/>
      <c r="AH9" s="19" t="e">
        <f t="shared" si="11"/>
        <v>#DIV/0!</v>
      </c>
    </row>
    <row r="10" spans="1:34" ht="12" thickBot="1">
      <c r="A10" s="23"/>
      <c r="B10" s="23"/>
      <c r="C10" s="23">
        <v>37</v>
      </c>
      <c r="D10" s="24">
        <f t="shared" si="0"/>
        <v>0</v>
      </c>
      <c r="E10" s="24">
        <f t="shared" si="1"/>
        <v>0</v>
      </c>
      <c r="F10" s="24">
        <f t="shared" si="2"/>
        <v>0</v>
      </c>
      <c r="G10" s="24">
        <f t="shared" si="3"/>
        <v>0</v>
      </c>
      <c r="H10" s="24">
        <f t="shared" si="4"/>
        <v>0</v>
      </c>
      <c r="I10" s="24">
        <f t="shared" si="5"/>
        <v>0</v>
      </c>
      <c r="J10" s="24">
        <f t="shared" si="6"/>
        <v>0</v>
      </c>
      <c r="K10" s="25">
        <f t="shared" si="7"/>
        <v>0</v>
      </c>
      <c r="L10" s="26">
        <v>21029.235199999999</v>
      </c>
      <c r="M10" s="26">
        <v>33.999699999999997</v>
      </c>
      <c r="N10" s="26">
        <v>39.638399999999997</v>
      </c>
      <c r="O10" s="26">
        <v>40.451500000000003</v>
      </c>
      <c r="P10" s="27"/>
      <c r="Q10" s="27"/>
      <c r="R10" s="27"/>
      <c r="S10" s="27"/>
      <c r="T10" s="27"/>
      <c r="U10" s="28"/>
      <c r="V10" s="26">
        <f t="shared" si="8"/>
        <v>0</v>
      </c>
      <c r="W10" s="21" t="str">
        <f t="shared" si="9"/>
        <v/>
      </c>
      <c r="X10" s="27"/>
      <c r="Y10" s="27"/>
      <c r="Z10" s="27"/>
      <c r="AA10" s="27"/>
      <c r="AB10" s="27"/>
      <c r="AC10" s="27"/>
      <c r="AD10" s="26">
        <f t="shared" si="10"/>
        <v>0</v>
      </c>
      <c r="AE10" s="23"/>
      <c r="AF10" s="23"/>
      <c r="AG10" s="23"/>
      <c r="AH10" s="19" t="e">
        <f t="shared" si="11"/>
        <v>#DIV/0!</v>
      </c>
    </row>
    <row r="11" spans="1:34" ht="12" thickBot="1">
      <c r="A11" s="12" t="s">
        <v>21</v>
      </c>
      <c r="B11" s="12" t="s">
        <v>22</v>
      </c>
      <c r="C11" s="12">
        <v>22</v>
      </c>
      <c r="D11" s="13">
        <f t="shared" si="0"/>
        <v>0</v>
      </c>
      <c r="E11" s="13">
        <f t="shared" si="1"/>
        <v>0</v>
      </c>
      <c r="F11" s="13">
        <f t="shared" si="2"/>
        <v>0</v>
      </c>
      <c r="G11" s="13">
        <f t="shared" si="3"/>
        <v>0</v>
      </c>
      <c r="H11" s="13">
        <f t="shared" si="4"/>
        <v>0</v>
      </c>
      <c r="I11" s="13">
        <f t="shared" si="5"/>
        <v>0</v>
      </c>
      <c r="J11" s="13">
        <f t="shared" si="6"/>
        <v>0</v>
      </c>
      <c r="K11" s="14">
        <f t="shared" si="7"/>
        <v>0</v>
      </c>
      <c r="L11" s="18">
        <v>22650.401600000001</v>
      </c>
      <c r="M11" s="18">
        <v>42.774700000000003</v>
      </c>
      <c r="N11" s="18">
        <v>44.543999999999997</v>
      </c>
      <c r="O11" s="18">
        <v>45.990900000000003</v>
      </c>
      <c r="P11" s="16"/>
      <c r="Q11" s="16"/>
      <c r="R11" s="16"/>
      <c r="S11" s="16"/>
      <c r="T11" s="16"/>
      <c r="U11" s="17"/>
      <c r="V11" s="18">
        <f t="shared" si="8"/>
        <v>0</v>
      </c>
      <c r="W11" s="21" t="str">
        <f t="shared" si="9"/>
        <v/>
      </c>
      <c r="X11" s="16"/>
      <c r="Y11" s="16"/>
      <c r="Z11" s="16"/>
      <c r="AA11" s="16"/>
      <c r="AB11" s="16"/>
      <c r="AC11" s="16"/>
      <c r="AD11" s="18">
        <f t="shared" si="10"/>
        <v>0</v>
      </c>
      <c r="AE11" s="19" t="e">
        <f>RBJM($P11:$Q14,X11:Y14)</f>
        <v>#VALUE!</v>
      </c>
      <c r="AF11" s="19" t="e">
        <f>RBJM($D11:$E14,H11:I14)</f>
        <v>#VALUE!</v>
      </c>
      <c r="AG11" s="19" t="e">
        <f>RBJM($F11:$G14,J11:K14)</f>
        <v>#VALUE!</v>
      </c>
      <c r="AH11" s="19" t="e">
        <f t="shared" si="11"/>
        <v>#DIV/0!</v>
      </c>
    </row>
    <row r="12" spans="1:34" ht="12" thickBot="1">
      <c r="A12" s="20" t="s">
        <v>23</v>
      </c>
      <c r="B12" s="20" t="s">
        <v>24</v>
      </c>
      <c r="C12" s="20">
        <v>27</v>
      </c>
      <c r="D12" s="13">
        <f t="shared" si="0"/>
        <v>0</v>
      </c>
      <c r="E12" s="13">
        <f t="shared" si="1"/>
        <v>0</v>
      </c>
      <c r="F12" s="13">
        <f t="shared" si="2"/>
        <v>0</v>
      </c>
      <c r="G12" s="13">
        <f t="shared" si="3"/>
        <v>0</v>
      </c>
      <c r="H12" s="13">
        <f t="shared" si="4"/>
        <v>0</v>
      </c>
      <c r="I12" s="13">
        <f t="shared" si="5"/>
        <v>0</v>
      </c>
      <c r="J12" s="13">
        <f t="shared" si="6"/>
        <v>0</v>
      </c>
      <c r="K12" s="14">
        <f t="shared" si="7"/>
        <v>0</v>
      </c>
      <c r="L12" s="18">
        <v>12628.0736</v>
      </c>
      <c r="M12" s="18">
        <v>41.105800000000002</v>
      </c>
      <c r="N12" s="18">
        <v>42.779499999999999</v>
      </c>
      <c r="O12" s="18">
        <v>43.738399999999999</v>
      </c>
      <c r="P12" s="16"/>
      <c r="Q12" s="16"/>
      <c r="R12" s="16"/>
      <c r="S12" s="16"/>
      <c r="T12" s="16"/>
      <c r="U12" s="17"/>
      <c r="V12" s="18">
        <f t="shared" si="8"/>
        <v>0</v>
      </c>
      <c r="W12" s="21" t="str">
        <f t="shared" si="9"/>
        <v/>
      </c>
      <c r="X12" s="16"/>
      <c r="Y12" s="16"/>
      <c r="Z12" s="16"/>
      <c r="AA12" s="16"/>
      <c r="AB12" s="16"/>
      <c r="AC12" s="16"/>
      <c r="AD12" s="18">
        <f t="shared" si="10"/>
        <v>0</v>
      </c>
      <c r="AE12" s="22"/>
      <c r="AF12" s="22"/>
      <c r="AG12" s="22"/>
      <c r="AH12" s="19" t="e">
        <f t="shared" si="11"/>
        <v>#DIV/0!</v>
      </c>
    </row>
    <row r="13" spans="1:34" ht="12" thickBot="1">
      <c r="A13" s="20"/>
      <c r="B13" s="20"/>
      <c r="C13" s="20">
        <v>32</v>
      </c>
      <c r="D13" s="13">
        <f t="shared" si="0"/>
        <v>0</v>
      </c>
      <c r="E13" s="13">
        <f t="shared" si="1"/>
        <v>0</v>
      </c>
      <c r="F13" s="13">
        <f t="shared" si="2"/>
        <v>0</v>
      </c>
      <c r="G13" s="13">
        <f t="shared" si="3"/>
        <v>0</v>
      </c>
      <c r="H13" s="13">
        <f t="shared" si="4"/>
        <v>0</v>
      </c>
      <c r="I13" s="13">
        <f t="shared" si="5"/>
        <v>0</v>
      </c>
      <c r="J13" s="13">
        <f t="shared" si="6"/>
        <v>0</v>
      </c>
      <c r="K13" s="14">
        <f t="shared" si="7"/>
        <v>0</v>
      </c>
      <c r="L13" s="18">
        <v>7078.5015999999996</v>
      </c>
      <c r="M13" s="18">
        <v>39.106699999999996</v>
      </c>
      <c r="N13" s="18">
        <v>41.150500000000001</v>
      </c>
      <c r="O13" s="18">
        <v>41.970199999999998</v>
      </c>
      <c r="P13" s="16"/>
      <c r="Q13" s="16"/>
      <c r="R13" s="16"/>
      <c r="S13" s="16"/>
      <c r="T13" s="16"/>
      <c r="U13" s="17"/>
      <c r="V13" s="18">
        <f t="shared" si="8"/>
        <v>0</v>
      </c>
      <c r="W13" s="21" t="str">
        <f t="shared" si="9"/>
        <v/>
      </c>
      <c r="X13" s="16"/>
      <c r="Y13" s="16"/>
      <c r="Z13" s="16"/>
      <c r="AA13" s="16"/>
      <c r="AB13" s="16"/>
      <c r="AC13" s="16"/>
      <c r="AD13" s="18">
        <f t="shared" si="10"/>
        <v>0</v>
      </c>
      <c r="AE13" s="22"/>
      <c r="AF13" s="22"/>
      <c r="AG13" s="22"/>
      <c r="AH13" s="19" t="e">
        <f t="shared" si="11"/>
        <v>#DIV/0!</v>
      </c>
    </row>
    <row r="14" spans="1:34" ht="12" thickBot="1">
      <c r="A14" s="20"/>
      <c r="B14" s="23"/>
      <c r="C14" s="23">
        <v>37</v>
      </c>
      <c r="D14" s="24">
        <f t="shared" si="0"/>
        <v>0</v>
      </c>
      <c r="E14" s="24">
        <f t="shared" si="1"/>
        <v>0</v>
      </c>
      <c r="F14" s="24">
        <f t="shared" si="2"/>
        <v>0</v>
      </c>
      <c r="G14" s="24">
        <f t="shared" si="3"/>
        <v>0</v>
      </c>
      <c r="H14" s="24">
        <f t="shared" si="4"/>
        <v>0</v>
      </c>
      <c r="I14" s="24">
        <f t="shared" si="5"/>
        <v>0</v>
      </c>
      <c r="J14" s="24">
        <f t="shared" si="6"/>
        <v>0</v>
      </c>
      <c r="K14" s="25">
        <f t="shared" si="7"/>
        <v>0</v>
      </c>
      <c r="L14" s="26">
        <v>3919.6864</v>
      </c>
      <c r="M14" s="26">
        <v>36.752000000000002</v>
      </c>
      <c r="N14" s="26">
        <v>39.583500000000001</v>
      </c>
      <c r="O14" s="26">
        <v>40.694400000000002</v>
      </c>
      <c r="P14" s="27"/>
      <c r="Q14" s="27"/>
      <c r="R14" s="27"/>
      <c r="S14" s="27"/>
      <c r="T14" s="27"/>
      <c r="U14" s="28"/>
      <c r="V14" s="26">
        <f t="shared" si="8"/>
        <v>0</v>
      </c>
      <c r="W14" s="21" t="str">
        <f t="shared" si="9"/>
        <v/>
      </c>
      <c r="X14" s="27"/>
      <c r="Y14" s="27"/>
      <c r="Z14" s="27"/>
      <c r="AA14" s="27"/>
      <c r="AB14" s="27"/>
      <c r="AC14" s="27"/>
      <c r="AD14" s="26">
        <f t="shared" si="10"/>
        <v>0</v>
      </c>
      <c r="AE14" s="23"/>
      <c r="AF14" s="23"/>
      <c r="AG14" s="23"/>
      <c r="AH14" s="19" t="e">
        <f t="shared" si="11"/>
        <v>#DIV/0!</v>
      </c>
    </row>
    <row r="15" spans="1:34" ht="12" thickBot="1">
      <c r="A15" s="20"/>
      <c r="B15" s="12" t="s">
        <v>25</v>
      </c>
      <c r="C15" s="12">
        <v>22</v>
      </c>
      <c r="D15" s="30">
        <f t="shared" si="0"/>
        <v>0</v>
      </c>
      <c r="E15" s="30">
        <f t="shared" si="1"/>
        <v>0</v>
      </c>
      <c r="F15" s="30">
        <f t="shared" si="2"/>
        <v>0</v>
      </c>
      <c r="G15" s="30">
        <f t="shared" si="3"/>
        <v>0</v>
      </c>
      <c r="H15" s="30">
        <f t="shared" si="4"/>
        <v>0</v>
      </c>
      <c r="I15" s="30">
        <f t="shared" si="5"/>
        <v>0</v>
      </c>
      <c r="J15" s="30">
        <f t="shared" si="6"/>
        <v>0</v>
      </c>
      <c r="K15" s="31">
        <f t="shared" si="7"/>
        <v>0</v>
      </c>
      <c r="L15" s="15">
        <v>54367.452799999999</v>
      </c>
      <c r="M15" s="15">
        <v>41.817500000000003</v>
      </c>
      <c r="N15" s="15">
        <v>43.369500000000002</v>
      </c>
      <c r="O15" s="15">
        <v>44.115299999999998</v>
      </c>
      <c r="P15" s="29"/>
      <c r="Q15" s="29"/>
      <c r="R15" s="29"/>
      <c r="S15" s="29"/>
      <c r="T15" s="29"/>
      <c r="U15" s="17"/>
      <c r="V15" s="15">
        <f t="shared" si="8"/>
        <v>0</v>
      </c>
      <c r="W15" s="21" t="str">
        <f t="shared" si="9"/>
        <v/>
      </c>
      <c r="X15" s="29"/>
      <c r="Y15" s="29"/>
      <c r="Z15" s="29"/>
      <c r="AA15" s="29"/>
      <c r="AB15" s="29"/>
      <c r="AC15" s="29"/>
      <c r="AD15" s="15">
        <f t="shared" si="10"/>
        <v>0</v>
      </c>
      <c r="AE15" s="19" t="e">
        <f>RBJM($P15:$Q18,X15:Y18)</f>
        <v>#VALUE!</v>
      </c>
      <c r="AF15" s="19" t="e">
        <f>RBJM($D15:$E18,H15:I18)</f>
        <v>#VALUE!</v>
      </c>
      <c r="AG15" s="19" t="e">
        <f>RBJM($F15:$G18,J15:K18)</f>
        <v>#VALUE!</v>
      </c>
      <c r="AH15" s="19" t="e">
        <f t="shared" si="11"/>
        <v>#DIV/0!</v>
      </c>
    </row>
    <row r="16" spans="1:34" ht="12" thickBot="1">
      <c r="A16" s="20"/>
      <c r="B16" s="20" t="s">
        <v>26</v>
      </c>
      <c r="C16" s="20">
        <v>27</v>
      </c>
      <c r="D16" s="13">
        <f t="shared" si="0"/>
        <v>0</v>
      </c>
      <c r="E16" s="13">
        <f t="shared" si="1"/>
        <v>0</v>
      </c>
      <c r="F16" s="13">
        <f t="shared" si="2"/>
        <v>0</v>
      </c>
      <c r="G16" s="13">
        <f t="shared" si="3"/>
        <v>0</v>
      </c>
      <c r="H16" s="13">
        <f t="shared" si="4"/>
        <v>0</v>
      </c>
      <c r="I16" s="13">
        <f t="shared" si="5"/>
        <v>0</v>
      </c>
      <c r="J16" s="13">
        <f t="shared" si="6"/>
        <v>0</v>
      </c>
      <c r="K16" s="14">
        <f t="shared" si="7"/>
        <v>0</v>
      </c>
      <c r="L16" s="18">
        <v>29723.1168</v>
      </c>
      <c r="M16" s="18">
        <v>38.665799999999997</v>
      </c>
      <c r="N16" s="18">
        <v>40.802500000000002</v>
      </c>
      <c r="O16" s="18">
        <v>41.413800000000002</v>
      </c>
      <c r="P16" s="16"/>
      <c r="Q16" s="16"/>
      <c r="R16" s="16"/>
      <c r="S16" s="16"/>
      <c r="T16" s="16"/>
      <c r="U16" s="17"/>
      <c r="V16" s="18">
        <f t="shared" si="8"/>
        <v>0</v>
      </c>
      <c r="W16" s="21" t="str">
        <f t="shared" si="9"/>
        <v/>
      </c>
      <c r="X16" s="16"/>
      <c r="Y16" s="16"/>
      <c r="Z16" s="16"/>
      <c r="AA16" s="16"/>
      <c r="AB16" s="16"/>
      <c r="AC16" s="16"/>
      <c r="AD16" s="18">
        <f t="shared" si="10"/>
        <v>0</v>
      </c>
      <c r="AE16" s="22"/>
      <c r="AF16" s="22"/>
      <c r="AG16" s="22"/>
      <c r="AH16" s="19" t="e">
        <f t="shared" si="11"/>
        <v>#DIV/0!</v>
      </c>
    </row>
    <row r="17" spans="1:34" ht="12" thickBot="1">
      <c r="A17" s="20"/>
      <c r="B17" s="20"/>
      <c r="C17" s="20">
        <v>32</v>
      </c>
      <c r="D17" s="13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3">
        <f t="shared" si="5"/>
        <v>0</v>
      </c>
      <c r="J17" s="13">
        <f t="shared" si="6"/>
        <v>0</v>
      </c>
      <c r="K17" s="14">
        <f t="shared" si="7"/>
        <v>0</v>
      </c>
      <c r="L17" s="18">
        <v>15504.772000000001</v>
      </c>
      <c r="M17" s="18">
        <v>35.685600000000001</v>
      </c>
      <c r="N17" s="18">
        <v>38.665700000000001</v>
      </c>
      <c r="O17" s="18">
        <v>39.662599999999998</v>
      </c>
      <c r="P17" s="16"/>
      <c r="Q17" s="16"/>
      <c r="R17" s="16"/>
      <c r="S17" s="16"/>
      <c r="T17" s="16"/>
      <c r="U17" s="17"/>
      <c r="V17" s="18">
        <f t="shared" si="8"/>
        <v>0</v>
      </c>
      <c r="W17" s="21" t="str">
        <f t="shared" si="9"/>
        <v/>
      </c>
      <c r="X17" s="16"/>
      <c r="Y17" s="16"/>
      <c r="Z17" s="16"/>
      <c r="AA17" s="16"/>
      <c r="AB17" s="16"/>
      <c r="AC17" s="16"/>
      <c r="AD17" s="18">
        <f t="shared" si="10"/>
        <v>0</v>
      </c>
      <c r="AE17" s="22"/>
      <c r="AF17" s="22"/>
      <c r="AG17" s="22"/>
      <c r="AH17" s="19" t="e">
        <f t="shared" si="11"/>
        <v>#DIV/0!</v>
      </c>
    </row>
    <row r="18" spans="1:34" ht="12" thickBot="1">
      <c r="A18" s="20"/>
      <c r="B18" s="23"/>
      <c r="C18" s="23">
        <v>37</v>
      </c>
      <c r="D18" s="24">
        <f t="shared" si="0"/>
        <v>0</v>
      </c>
      <c r="E18" s="24">
        <f t="shared" si="1"/>
        <v>0</v>
      </c>
      <c r="F18" s="24">
        <f t="shared" si="2"/>
        <v>0</v>
      </c>
      <c r="G18" s="24">
        <f t="shared" si="3"/>
        <v>0</v>
      </c>
      <c r="H18" s="24">
        <f t="shared" si="4"/>
        <v>0</v>
      </c>
      <c r="I18" s="24">
        <f t="shared" si="5"/>
        <v>0</v>
      </c>
      <c r="J18" s="24">
        <f t="shared" si="6"/>
        <v>0</v>
      </c>
      <c r="K18" s="25">
        <f t="shared" si="7"/>
        <v>0</v>
      </c>
      <c r="L18" s="26">
        <v>7619.0007999999998</v>
      </c>
      <c r="M18" s="26">
        <v>32.913899999999998</v>
      </c>
      <c r="N18" s="26">
        <v>36.850299999999997</v>
      </c>
      <c r="O18" s="26">
        <v>38.5593</v>
      </c>
      <c r="P18" s="27"/>
      <c r="Q18" s="27"/>
      <c r="R18" s="27"/>
      <c r="S18" s="27"/>
      <c r="T18" s="27"/>
      <c r="U18" s="28"/>
      <c r="V18" s="26">
        <f t="shared" si="8"/>
        <v>0</v>
      </c>
      <c r="W18" s="21" t="str">
        <f t="shared" si="9"/>
        <v/>
      </c>
      <c r="X18" s="27"/>
      <c r="Y18" s="27"/>
      <c r="Z18" s="27"/>
      <c r="AA18" s="27"/>
      <c r="AB18" s="27"/>
      <c r="AC18" s="27"/>
      <c r="AD18" s="26">
        <f t="shared" si="10"/>
        <v>0</v>
      </c>
      <c r="AE18" s="23"/>
      <c r="AF18" s="23"/>
      <c r="AG18" s="23"/>
      <c r="AH18" s="19" t="e">
        <f t="shared" si="11"/>
        <v>#DIV/0!</v>
      </c>
    </row>
    <row r="19" spans="1:34" ht="12" thickBot="1">
      <c r="A19" s="20"/>
      <c r="B19" s="12" t="s">
        <v>27</v>
      </c>
      <c r="C19" s="12">
        <v>22</v>
      </c>
      <c r="D19" s="30">
        <f t="shared" si="0"/>
        <v>0</v>
      </c>
      <c r="E19" s="30">
        <f t="shared" si="1"/>
        <v>0</v>
      </c>
      <c r="F19" s="30">
        <f t="shared" si="2"/>
        <v>0</v>
      </c>
      <c r="G19" s="30">
        <f t="shared" si="3"/>
        <v>0</v>
      </c>
      <c r="H19" s="30">
        <f t="shared" si="4"/>
        <v>0</v>
      </c>
      <c r="I19" s="30">
        <f t="shared" si="5"/>
        <v>0</v>
      </c>
      <c r="J19" s="30">
        <f t="shared" si="6"/>
        <v>0</v>
      </c>
      <c r="K19" s="31">
        <f t="shared" si="7"/>
        <v>0</v>
      </c>
      <c r="L19" s="15">
        <v>110402.7144</v>
      </c>
      <c r="M19" s="15">
        <v>40.726500000000001</v>
      </c>
      <c r="N19" s="15">
        <v>41.792900000000003</v>
      </c>
      <c r="O19" s="15">
        <v>44.114600000000003</v>
      </c>
      <c r="P19" s="29"/>
      <c r="Q19" s="29"/>
      <c r="R19" s="29"/>
      <c r="S19" s="29"/>
      <c r="T19" s="29"/>
      <c r="U19" s="17"/>
      <c r="V19" s="15">
        <f t="shared" si="8"/>
        <v>0</v>
      </c>
      <c r="W19" s="21" t="str">
        <f t="shared" si="9"/>
        <v/>
      </c>
      <c r="X19" s="29"/>
      <c r="Y19" s="29"/>
      <c r="Z19" s="29"/>
      <c r="AA19" s="29"/>
      <c r="AB19" s="29"/>
      <c r="AC19" s="29"/>
      <c r="AD19" s="15">
        <f t="shared" si="10"/>
        <v>0</v>
      </c>
      <c r="AE19" s="19" t="e">
        <f>RBJM($P19:$Q22,X19:Y22)</f>
        <v>#VALUE!</v>
      </c>
      <c r="AF19" s="19" t="e">
        <f>RBJM($D19:$E22,H19:I22)</f>
        <v>#VALUE!</v>
      </c>
      <c r="AG19" s="19" t="e">
        <f>RBJM($F19:$G22,J19:K22)</f>
        <v>#VALUE!</v>
      </c>
      <c r="AH19" s="19" t="e">
        <f t="shared" si="11"/>
        <v>#DIV/0!</v>
      </c>
    </row>
    <row r="20" spans="1:34" ht="12" thickBot="1">
      <c r="A20" s="20"/>
      <c r="B20" s="20" t="s">
        <v>28</v>
      </c>
      <c r="C20" s="20">
        <v>27</v>
      </c>
      <c r="D20" s="13">
        <f t="shared" si="0"/>
        <v>0</v>
      </c>
      <c r="E20" s="13">
        <f t="shared" si="1"/>
        <v>0</v>
      </c>
      <c r="F20" s="13">
        <f t="shared" si="2"/>
        <v>0</v>
      </c>
      <c r="G20" s="13">
        <f t="shared" si="3"/>
        <v>0</v>
      </c>
      <c r="H20" s="13">
        <f t="shared" si="4"/>
        <v>0</v>
      </c>
      <c r="I20" s="13">
        <f t="shared" si="5"/>
        <v>0</v>
      </c>
      <c r="J20" s="13">
        <f t="shared" si="6"/>
        <v>0</v>
      </c>
      <c r="K20" s="14">
        <f t="shared" si="7"/>
        <v>0</v>
      </c>
      <c r="L20" s="18">
        <v>50857.481599999999</v>
      </c>
      <c r="M20" s="18">
        <v>37.984200000000001</v>
      </c>
      <c r="N20" s="18">
        <v>39.485399999999998</v>
      </c>
      <c r="O20" s="18">
        <v>42.078699999999998</v>
      </c>
      <c r="P20" s="16"/>
      <c r="Q20" s="16"/>
      <c r="R20" s="16"/>
      <c r="S20" s="16"/>
      <c r="T20" s="16"/>
      <c r="U20" s="17"/>
      <c r="V20" s="18">
        <f t="shared" si="8"/>
        <v>0</v>
      </c>
      <c r="W20" s="21" t="str">
        <f t="shared" si="9"/>
        <v/>
      </c>
      <c r="X20" s="16"/>
      <c r="Y20" s="16"/>
      <c r="Z20" s="16"/>
      <c r="AA20" s="16"/>
      <c r="AB20" s="16"/>
      <c r="AC20" s="16"/>
      <c r="AD20" s="18">
        <f t="shared" si="10"/>
        <v>0</v>
      </c>
      <c r="AE20" s="22"/>
      <c r="AF20" s="22"/>
      <c r="AG20" s="22"/>
      <c r="AH20" s="19" t="e">
        <f t="shared" si="11"/>
        <v>#DIV/0!</v>
      </c>
    </row>
    <row r="21" spans="1:34" ht="12" thickBot="1">
      <c r="A21" s="20"/>
      <c r="B21" s="20"/>
      <c r="C21" s="20">
        <v>32</v>
      </c>
      <c r="D21" s="13">
        <f t="shared" si="0"/>
        <v>0</v>
      </c>
      <c r="E21" s="13">
        <f t="shared" si="1"/>
        <v>0</v>
      </c>
      <c r="F21" s="13">
        <f t="shared" si="2"/>
        <v>0</v>
      </c>
      <c r="G21" s="13">
        <f t="shared" si="3"/>
        <v>0</v>
      </c>
      <c r="H21" s="13">
        <f t="shared" si="4"/>
        <v>0</v>
      </c>
      <c r="I21" s="13">
        <f t="shared" si="5"/>
        <v>0</v>
      </c>
      <c r="J21" s="13">
        <f t="shared" si="6"/>
        <v>0</v>
      </c>
      <c r="K21" s="14">
        <f t="shared" si="7"/>
        <v>0</v>
      </c>
      <c r="L21" s="18">
        <v>27464.862400000002</v>
      </c>
      <c r="M21" s="18">
        <v>35.761099999999999</v>
      </c>
      <c r="N21" s="18">
        <v>38.28</v>
      </c>
      <c r="O21" s="18">
        <v>40.265000000000001</v>
      </c>
      <c r="P21" s="16"/>
      <c r="Q21" s="16"/>
      <c r="R21" s="16"/>
      <c r="S21" s="16"/>
      <c r="T21" s="16"/>
      <c r="U21" s="17"/>
      <c r="V21" s="18">
        <f t="shared" si="8"/>
        <v>0</v>
      </c>
      <c r="W21" s="21" t="str">
        <f t="shared" si="9"/>
        <v/>
      </c>
      <c r="X21" s="16"/>
      <c r="Y21" s="16"/>
      <c r="Z21" s="16"/>
      <c r="AA21" s="16"/>
      <c r="AB21" s="16"/>
      <c r="AC21" s="16"/>
      <c r="AD21" s="18">
        <f t="shared" si="10"/>
        <v>0</v>
      </c>
      <c r="AE21" s="22"/>
      <c r="AF21" s="22"/>
      <c r="AG21" s="22"/>
      <c r="AH21" s="19" t="e">
        <f t="shared" si="11"/>
        <v>#DIV/0!</v>
      </c>
    </row>
    <row r="22" spans="1:34" ht="12" thickBot="1">
      <c r="A22" s="20"/>
      <c r="B22" s="23"/>
      <c r="C22" s="23">
        <v>37</v>
      </c>
      <c r="D22" s="24">
        <f t="shared" si="0"/>
        <v>0</v>
      </c>
      <c r="E22" s="24">
        <f t="shared" si="1"/>
        <v>0</v>
      </c>
      <c r="F22" s="24">
        <f t="shared" si="2"/>
        <v>0</v>
      </c>
      <c r="G22" s="24">
        <f t="shared" si="3"/>
        <v>0</v>
      </c>
      <c r="H22" s="24">
        <f t="shared" si="4"/>
        <v>0</v>
      </c>
      <c r="I22" s="24">
        <f t="shared" si="5"/>
        <v>0</v>
      </c>
      <c r="J22" s="24">
        <f t="shared" si="6"/>
        <v>0</v>
      </c>
      <c r="K22" s="25">
        <f t="shared" si="7"/>
        <v>0</v>
      </c>
      <c r="L22" s="26">
        <v>14664.357599999999</v>
      </c>
      <c r="M22" s="26">
        <v>33.380800000000001</v>
      </c>
      <c r="N22" s="26">
        <v>37.028799999999997</v>
      </c>
      <c r="O22" s="26">
        <v>38.348999999999997</v>
      </c>
      <c r="P22" s="27"/>
      <c r="Q22" s="27"/>
      <c r="R22" s="27"/>
      <c r="S22" s="27"/>
      <c r="T22" s="27"/>
      <c r="U22" s="28"/>
      <c r="V22" s="26">
        <f t="shared" si="8"/>
        <v>0</v>
      </c>
      <c r="W22" s="21" t="str">
        <f t="shared" si="9"/>
        <v/>
      </c>
      <c r="X22" s="27"/>
      <c r="Y22" s="27"/>
      <c r="Z22" s="27"/>
      <c r="AA22" s="27"/>
      <c r="AB22" s="27"/>
      <c r="AC22" s="27"/>
      <c r="AD22" s="26">
        <f t="shared" si="10"/>
        <v>0</v>
      </c>
      <c r="AE22" s="23"/>
      <c r="AF22" s="23"/>
      <c r="AG22" s="23"/>
      <c r="AH22" s="19" t="e">
        <f>AB22/T22</f>
        <v>#DIV/0!</v>
      </c>
    </row>
    <row r="23" spans="1:34" ht="12" thickBot="1">
      <c r="A23" s="20"/>
      <c r="B23" s="12" t="s">
        <v>29</v>
      </c>
      <c r="C23" s="12">
        <v>22</v>
      </c>
      <c r="D23" s="32">
        <f>P23</f>
        <v>0</v>
      </c>
      <c r="E23" s="32">
        <f>R23</f>
        <v>0</v>
      </c>
      <c r="F23" s="32">
        <f>P23</f>
        <v>0</v>
      </c>
      <c r="G23" s="32">
        <f>S23</f>
        <v>0</v>
      </c>
      <c r="H23" s="32">
        <f t="shared" si="4"/>
        <v>0</v>
      </c>
      <c r="I23" s="32">
        <f t="shared" si="5"/>
        <v>0</v>
      </c>
      <c r="J23" s="32">
        <f t="shared" si="6"/>
        <v>0</v>
      </c>
      <c r="K23" s="33">
        <f t="shared" si="7"/>
        <v>0</v>
      </c>
      <c r="L23" s="15">
        <v>71997.502399999998</v>
      </c>
      <c r="M23" s="15">
        <v>41.258699999999997</v>
      </c>
      <c r="N23" s="15">
        <v>44.386400000000002</v>
      </c>
      <c r="O23" s="15">
        <v>45.951999999999998</v>
      </c>
      <c r="P23" s="29"/>
      <c r="Q23" s="29"/>
      <c r="R23" s="29"/>
      <c r="S23" s="29"/>
      <c r="T23" s="29"/>
      <c r="U23" s="17"/>
      <c r="V23" s="15">
        <f t="shared" si="8"/>
        <v>0</v>
      </c>
      <c r="W23" s="21" t="str">
        <f t="shared" si="9"/>
        <v/>
      </c>
      <c r="X23" s="29"/>
      <c r="Y23" s="29"/>
      <c r="Z23" s="29"/>
      <c r="AA23" s="29"/>
      <c r="AB23" s="29"/>
      <c r="AC23" s="29"/>
      <c r="AD23" s="15">
        <f t="shared" si="10"/>
        <v>0</v>
      </c>
      <c r="AE23" s="19" t="e">
        <f>RBJM($P23:$Q26,X23:Y26)</f>
        <v>#VALUE!</v>
      </c>
      <c r="AF23" s="19" t="e">
        <f>RBJM($D23:$E26,H23:I26)</f>
        <v>#VALUE!</v>
      </c>
      <c r="AG23" s="19" t="e">
        <f>RBJM($F23:$G26,J23:K26)</f>
        <v>#VALUE!</v>
      </c>
      <c r="AH23" s="19" t="e">
        <f>AB23/T23</f>
        <v>#DIV/0!</v>
      </c>
    </row>
    <row r="24" spans="1:34" ht="12" thickBot="1">
      <c r="A24" s="20"/>
      <c r="B24" s="20" t="s">
        <v>30</v>
      </c>
      <c r="C24" s="20">
        <v>27</v>
      </c>
      <c r="D24" s="34">
        <f>P24</f>
        <v>0</v>
      </c>
      <c r="E24" s="34">
        <f>R24</f>
        <v>0</v>
      </c>
      <c r="F24" s="34">
        <f>P24</f>
        <v>0</v>
      </c>
      <c r="G24" s="34">
        <f>S24</f>
        <v>0</v>
      </c>
      <c r="H24" s="34">
        <f t="shared" si="4"/>
        <v>0</v>
      </c>
      <c r="I24" s="34">
        <f t="shared" si="5"/>
        <v>0</v>
      </c>
      <c r="J24" s="34">
        <f t="shared" si="6"/>
        <v>0</v>
      </c>
      <c r="K24" s="35">
        <f t="shared" si="7"/>
        <v>0</v>
      </c>
      <c r="L24" s="18">
        <v>30177.303199999998</v>
      </c>
      <c r="M24" s="18">
        <v>38.763399999999997</v>
      </c>
      <c r="N24" s="18">
        <v>42.910499999999999</v>
      </c>
      <c r="O24" s="18">
        <v>43.8247</v>
      </c>
      <c r="P24" s="16"/>
      <c r="Q24" s="16"/>
      <c r="R24" s="16"/>
      <c r="S24" s="16"/>
      <c r="T24" s="16"/>
      <c r="U24" s="17"/>
      <c r="V24" s="18">
        <f t="shared" si="8"/>
        <v>0</v>
      </c>
      <c r="W24" s="21" t="str">
        <f t="shared" si="9"/>
        <v/>
      </c>
      <c r="X24" s="16"/>
      <c r="Y24" s="16"/>
      <c r="Z24" s="16"/>
      <c r="AA24" s="16"/>
      <c r="AB24" s="16"/>
      <c r="AC24" s="16"/>
      <c r="AD24" s="18">
        <f t="shared" si="10"/>
        <v>0</v>
      </c>
      <c r="AE24" s="22"/>
      <c r="AF24" s="22"/>
      <c r="AG24" s="22"/>
      <c r="AH24" s="19" t="e">
        <f>AB24/T24</f>
        <v>#DIV/0!</v>
      </c>
    </row>
    <row r="25" spans="1:34" ht="12" thickBot="1">
      <c r="A25" s="20"/>
      <c r="B25" s="20"/>
      <c r="C25" s="20">
        <v>32</v>
      </c>
      <c r="D25" s="34">
        <f>P25</f>
        <v>0</v>
      </c>
      <c r="E25" s="34">
        <f>R25</f>
        <v>0</v>
      </c>
      <c r="F25" s="34">
        <f>P25</f>
        <v>0</v>
      </c>
      <c r="G25" s="34">
        <f>S25</f>
        <v>0</v>
      </c>
      <c r="H25" s="34">
        <f t="shared" si="4"/>
        <v>0</v>
      </c>
      <c r="I25" s="34">
        <f t="shared" si="5"/>
        <v>0</v>
      </c>
      <c r="J25" s="34">
        <f t="shared" si="6"/>
        <v>0</v>
      </c>
      <c r="K25" s="35">
        <f t="shared" si="7"/>
        <v>0</v>
      </c>
      <c r="L25" s="18">
        <v>15603.314399999999</v>
      </c>
      <c r="M25" s="18">
        <v>37.031599999999997</v>
      </c>
      <c r="N25" s="18">
        <v>41.412500000000001</v>
      </c>
      <c r="O25" s="18">
        <v>41.752800000000001</v>
      </c>
      <c r="P25" s="16"/>
      <c r="Q25" s="16"/>
      <c r="R25" s="16"/>
      <c r="S25" s="16"/>
      <c r="T25" s="16"/>
      <c r="U25" s="17"/>
      <c r="V25" s="18">
        <f t="shared" si="8"/>
        <v>0</v>
      </c>
      <c r="W25" s="21" t="str">
        <f t="shared" si="9"/>
        <v/>
      </c>
      <c r="X25" s="16"/>
      <c r="Y25" s="16"/>
      <c r="Z25" s="16"/>
      <c r="AA25" s="16"/>
      <c r="AB25" s="16"/>
      <c r="AC25" s="16"/>
      <c r="AD25" s="18">
        <f t="shared" si="10"/>
        <v>0</v>
      </c>
      <c r="AE25" s="22"/>
      <c r="AF25" s="22"/>
      <c r="AG25" s="22"/>
      <c r="AH25" s="19" t="e">
        <f>AB25/T25</f>
        <v>#DIV/0!</v>
      </c>
    </row>
    <row r="26" spans="1:34" ht="12" thickBot="1">
      <c r="A26" s="20"/>
      <c r="B26" s="23"/>
      <c r="C26" s="23">
        <v>37</v>
      </c>
      <c r="D26" s="36">
        <f>P26</f>
        <v>0</v>
      </c>
      <c r="E26" s="36">
        <f>R26</f>
        <v>0</v>
      </c>
      <c r="F26" s="36">
        <f>P26</f>
        <v>0</v>
      </c>
      <c r="G26" s="36">
        <f>S26</f>
        <v>0</v>
      </c>
      <c r="H26" s="36">
        <f t="shared" si="4"/>
        <v>0</v>
      </c>
      <c r="I26" s="36">
        <f t="shared" si="5"/>
        <v>0</v>
      </c>
      <c r="J26" s="36">
        <f t="shared" si="6"/>
        <v>0</v>
      </c>
      <c r="K26" s="37">
        <f t="shared" si="7"/>
        <v>0</v>
      </c>
      <c r="L26" s="26">
        <v>8644.8295999999991</v>
      </c>
      <c r="M26" s="26">
        <v>35.134300000000003</v>
      </c>
      <c r="N26" s="26">
        <v>39.826300000000003</v>
      </c>
      <c r="O26" s="26">
        <v>39.631700000000002</v>
      </c>
      <c r="P26" s="27"/>
      <c r="Q26" s="27"/>
      <c r="R26" s="27"/>
      <c r="S26" s="27"/>
      <c r="T26" s="27"/>
      <c r="U26" s="28"/>
      <c r="V26" s="26">
        <f t="shared" si="8"/>
        <v>0</v>
      </c>
      <c r="W26" s="21" t="str">
        <f t="shared" si="9"/>
        <v/>
      </c>
      <c r="X26" s="27"/>
      <c r="Y26" s="27"/>
      <c r="Z26" s="27"/>
      <c r="AA26" s="27"/>
      <c r="AB26" s="27"/>
      <c r="AC26" s="27"/>
      <c r="AD26" s="26">
        <f t="shared" si="10"/>
        <v>0</v>
      </c>
      <c r="AE26" s="23"/>
      <c r="AF26" s="23"/>
      <c r="AG26" s="23"/>
      <c r="AH26" s="19" t="e">
        <f t="shared" ref="AH26:AH89" si="12">AB26/T26</f>
        <v>#DIV/0!</v>
      </c>
    </row>
    <row r="27" spans="1:34" ht="12" thickBot="1">
      <c r="A27" s="20"/>
      <c r="B27" s="12" t="s">
        <v>31</v>
      </c>
      <c r="C27" s="12">
        <v>22</v>
      </c>
      <c r="D27" s="32">
        <f t="shared" si="0"/>
        <v>0</v>
      </c>
      <c r="E27" s="32">
        <f t="shared" si="1"/>
        <v>0</v>
      </c>
      <c r="F27" s="32">
        <f t="shared" si="2"/>
        <v>0</v>
      </c>
      <c r="G27" s="32">
        <f t="shared" si="3"/>
        <v>0</v>
      </c>
      <c r="H27" s="32">
        <f t="shared" si="4"/>
        <v>0</v>
      </c>
      <c r="I27" s="32">
        <f t="shared" si="5"/>
        <v>0</v>
      </c>
      <c r="J27" s="32">
        <f t="shared" si="6"/>
        <v>0</v>
      </c>
      <c r="K27" s="33">
        <f t="shared" si="7"/>
        <v>0</v>
      </c>
      <c r="L27" s="15">
        <v>185890.88</v>
      </c>
      <c r="M27" s="15">
        <v>42.308700000000002</v>
      </c>
      <c r="N27" s="15">
        <v>42.799100000000003</v>
      </c>
      <c r="O27" s="15">
        <v>44.401600000000002</v>
      </c>
      <c r="P27" s="29"/>
      <c r="Q27" s="29"/>
      <c r="R27" s="29"/>
      <c r="S27" s="29"/>
      <c r="T27" s="29"/>
      <c r="U27" s="17"/>
      <c r="V27" s="15">
        <f t="shared" si="8"/>
        <v>0</v>
      </c>
      <c r="W27" s="21" t="str">
        <f t="shared" si="9"/>
        <v/>
      </c>
      <c r="X27" s="29"/>
      <c r="Y27" s="29"/>
      <c r="Z27" s="29"/>
      <c r="AA27" s="29"/>
      <c r="AB27" s="29"/>
      <c r="AC27" s="29"/>
      <c r="AD27" s="15">
        <f t="shared" si="10"/>
        <v>0</v>
      </c>
      <c r="AE27" s="19" t="e">
        <f>RBJM($P27:$Q30,X27:Y30)</f>
        <v>#VALUE!</v>
      </c>
      <c r="AF27" s="19" t="e">
        <f>RBJM($D27:$E30,H27:I30)</f>
        <v>#VALUE!</v>
      </c>
      <c r="AG27" s="19" t="e">
        <f>RBJM($F27:$G30,J27:K30)</f>
        <v>#VALUE!</v>
      </c>
      <c r="AH27" s="19" t="e">
        <f t="shared" si="12"/>
        <v>#DIV/0!</v>
      </c>
    </row>
    <row r="28" spans="1:34" ht="12" thickBot="1">
      <c r="A28" s="20"/>
      <c r="B28" s="20" t="s">
        <v>32</v>
      </c>
      <c r="C28" s="20">
        <v>27</v>
      </c>
      <c r="D28" s="34">
        <f t="shared" si="0"/>
        <v>0</v>
      </c>
      <c r="E28" s="34">
        <f t="shared" si="1"/>
        <v>0</v>
      </c>
      <c r="F28" s="34">
        <f t="shared" si="2"/>
        <v>0</v>
      </c>
      <c r="G28" s="34">
        <f t="shared" si="3"/>
        <v>0</v>
      </c>
      <c r="H28" s="34">
        <f t="shared" si="4"/>
        <v>0</v>
      </c>
      <c r="I28" s="34">
        <f t="shared" si="5"/>
        <v>0</v>
      </c>
      <c r="J28" s="34">
        <f t="shared" si="6"/>
        <v>0</v>
      </c>
      <c r="K28" s="35">
        <f t="shared" si="7"/>
        <v>0</v>
      </c>
      <c r="L28" s="18">
        <v>82516.644</v>
      </c>
      <c r="M28" s="18">
        <v>37.139499999999998</v>
      </c>
      <c r="N28" s="18">
        <v>40.886699999999998</v>
      </c>
      <c r="O28" s="18">
        <v>42.970999999999997</v>
      </c>
      <c r="P28" s="16"/>
      <c r="Q28" s="16"/>
      <c r="R28" s="16"/>
      <c r="S28" s="16"/>
      <c r="T28" s="16"/>
      <c r="U28" s="17"/>
      <c r="V28" s="18">
        <f t="shared" si="8"/>
        <v>0</v>
      </c>
      <c r="W28" s="21" t="str">
        <f t="shared" si="9"/>
        <v/>
      </c>
      <c r="X28" s="16"/>
      <c r="Y28" s="16"/>
      <c r="Z28" s="16"/>
      <c r="AA28" s="16"/>
      <c r="AB28" s="16"/>
      <c r="AC28" s="16"/>
      <c r="AD28" s="18">
        <f t="shared" si="10"/>
        <v>0</v>
      </c>
      <c r="AE28" s="22"/>
      <c r="AF28" s="22"/>
      <c r="AG28" s="22"/>
      <c r="AH28" s="19" t="e">
        <f t="shared" si="12"/>
        <v>#DIV/0!</v>
      </c>
    </row>
    <row r="29" spans="1:34" ht="12" thickBot="1">
      <c r="A29" s="20"/>
      <c r="B29" s="20"/>
      <c r="C29" s="20">
        <v>32</v>
      </c>
      <c r="D29" s="34">
        <f t="shared" si="0"/>
        <v>0</v>
      </c>
      <c r="E29" s="34">
        <f t="shared" si="1"/>
        <v>0</v>
      </c>
      <c r="F29" s="34">
        <f t="shared" si="2"/>
        <v>0</v>
      </c>
      <c r="G29" s="34">
        <f t="shared" si="3"/>
        <v>0</v>
      </c>
      <c r="H29" s="34">
        <f t="shared" si="4"/>
        <v>0</v>
      </c>
      <c r="I29" s="34">
        <f t="shared" si="5"/>
        <v>0</v>
      </c>
      <c r="J29" s="34">
        <f t="shared" si="6"/>
        <v>0</v>
      </c>
      <c r="K29" s="35">
        <f t="shared" si="7"/>
        <v>0</v>
      </c>
      <c r="L29" s="18">
        <v>41722.555999999997</v>
      </c>
      <c r="M29" s="18">
        <v>34.584000000000003</v>
      </c>
      <c r="N29" s="18">
        <v>39.267299999999999</v>
      </c>
      <c r="O29" s="18">
        <v>41.751199999999997</v>
      </c>
      <c r="P29" s="16"/>
      <c r="Q29" s="16"/>
      <c r="R29" s="16"/>
      <c r="S29" s="16"/>
      <c r="T29" s="16"/>
      <c r="U29" s="17"/>
      <c r="V29" s="18">
        <f t="shared" si="8"/>
        <v>0</v>
      </c>
      <c r="W29" s="21" t="str">
        <f t="shared" si="9"/>
        <v/>
      </c>
      <c r="X29" s="16"/>
      <c r="Y29" s="16"/>
      <c r="Z29" s="16"/>
      <c r="AA29" s="16"/>
      <c r="AB29" s="16"/>
      <c r="AC29" s="16"/>
      <c r="AD29" s="18">
        <f t="shared" si="10"/>
        <v>0</v>
      </c>
      <c r="AE29" s="22"/>
      <c r="AF29" s="22"/>
      <c r="AG29" s="22"/>
      <c r="AH29" s="19" t="e">
        <f t="shared" si="12"/>
        <v>#DIV/0!</v>
      </c>
    </row>
    <row r="30" spans="1:34" ht="12" thickBot="1">
      <c r="A30" s="23"/>
      <c r="B30" s="23"/>
      <c r="C30" s="23">
        <v>37</v>
      </c>
      <c r="D30" s="36">
        <f t="shared" si="0"/>
        <v>0</v>
      </c>
      <c r="E30" s="36">
        <f t="shared" si="1"/>
        <v>0</v>
      </c>
      <c r="F30" s="36">
        <f t="shared" si="2"/>
        <v>0</v>
      </c>
      <c r="G30" s="36">
        <f t="shared" si="3"/>
        <v>0</v>
      </c>
      <c r="H30" s="36">
        <f t="shared" si="4"/>
        <v>0</v>
      </c>
      <c r="I30" s="36">
        <f t="shared" si="5"/>
        <v>0</v>
      </c>
      <c r="J30" s="36">
        <f t="shared" si="6"/>
        <v>0</v>
      </c>
      <c r="K30" s="37">
        <f t="shared" si="7"/>
        <v>0</v>
      </c>
      <c r="L30" s="26">
        <v>22227.029600000002</v>
      </c>
      <c r="M30" s="26">
        <v>32.207500000000003</v>
      </c>
      <c r="N30" s="26">
        <v>37.958799999999997</v>
      </c>
      <c r="O30" s="26">
        <v>40.658299999999997</v>
      </c>
      <c r="P30" s="27"/>
      <c r="Q30" s="27"/>
      <c r="R30" s="27"/>
      <c r="S30" s="27"/>
      <c r="T30" s="27"/>
      <c r="U30" s="28"/>
      <c r="V30" s="26">
        <f t="shared" si="8"/>
        <v>0</v>
      </c>
      <c r="W30" s="21" t="str">
        <f t="shared" si="9"/>
        <v/>
      </c>
      <c r="X30" s="27"/>
      <c r="Y30" s="27"/>
      <c r="Z30" s="27"/>
      <c r="AA30" s="27"/>
      <c r="AB30" s="27"/>
      <c r="AC30" s="27"/>
      <c r="AD30" s="26">
        <f t="shared" si="10"/>
        <v>0</v>
      </c>
      <c r="AE30" s="23"/>
      <c r="AF30" s="23"/>
      <c r="AG30" s="23"/>
      <c r="AH30" s="19" t="e">
        <f t="shared" si="12"/>
        <v>#DIV/0!</v>
      </c>
    </row>
    <row r="31" spans="1:34" ht="12" thickBot="1">
      <c r="A31" s="12" t="s">
        <v>33</v>
      </c>
      <c r="B31" s="12" t="s">
        <v>34</v>
      </c>
      <c r="C31" s="12">
        <v>22</v>
      </c>
      <c r="D31" s="32">
        <f t="shared" si="0"/>
        <v>3218.1125000000002</v>
      </c>
      <c r="E31" s="32">
        <f t="shared" si="1"/>
        <v>43.426200000000001</v>
      </c>
      <c r="F31" s="32">
        <f t="shared" si="2"/>
        <v>3218.1125000000002</v>
      </c>
      <c r="G31" s="32">
        <f t="shared" si="3"/>
        <v>43.986600000000003</v>
      </c>
      <c r="H31" s="32">
        <f t="shared" si="4"/>
        <v>2953.3625000000002</v>
      </c>
      <c r="I31" s="32">
        <f t="shared" si="5"/>
        <v>43.479700000000001</v>
      </c>
      <c r="J31" s="32">
        <f t="shared" si="6"/>
        <v>2953.3625000000002</v>
      </c>
      <c r="K31" s="33">
        <f t="shared" si="7"/>
        <v>44.016399999999997</v>
      </c>
      <c r="L31" s="15">
        <v>21504.815999999999</v>
      </c>
      <c r="M31" s="15">
        <v>41.884500000000003</v>
      </c>
      <c r="N31" s="15">
        <v>43.823</v>
      </c>
      <c r="O31" s="15">
        <v>44.421500000000002</v>
      </c>
      <c r="P31" s="29">
        <v>3218.1125000000002</v>
      </c>
      <c r="Q31" s="29">
        <v>40.817799999999998</v>
      </c>
      <c r="R31" s="29">
        <v>43.426200000000001</v>
      </c>
      <c r="S31" s="29">
        <v>43.986600000000003</v>
      </c>
      <c r="T31" s="29">
        <v>164.90600000000001</v>
      </c>
      <c r="U31" s="17"/>
      <c r="V31" s="15">
        <f t="shared" si="8"/>
        <v>4.5807222222222221E-2</v>
      </c>
      <c r="W31" s="21" t="str">
        <f t="shared" si="9"/>
        <v>!</v>
      </c>
      <c r="X31" s="29">
        <v>2953.3625000000002</v>
      </c>
      <c r="Y31" s="29">
        <v>40.945799999999998</v>
      </c>
      <c r="Z31" s="29">
        <v>43.479700000000001</v>
      </c>
      <c r="AA31" s="29">
        <v>44.016399999999997</v>
      </c>
      <c r="AB31" s="29">
        <v>13.672000000000001</v>
      </c>
      <c r="AC31" s="29"/>
      <c r="AD31" s="15">
        <f t="shared" si="10"/>
        <v>3.797777777777778E-3</v>
      </c>
      <c r="AE31" s="19">
        <f>RBJM($P31:$Q34,X31:Y34)</f>
        <v>-9.8901694054042704</v>
      </c>
      <c r="AF31" s="19">
        <f>RBJM($D31:$E34,H31:I34)</f>
        <v>-5.5821579722255095</v>
      </c>
      <c r="AG31" s="19">
        <f>RBJM($F31:$G34,J31:K34)</f>
        <v>-5.7646353608424299</v>
      </c>
      <c r="AH31" s="19">
        <f t="shared" si="12"/>
        <v>8.2907838404909465E-2</v>
      </c>
    </row>
    <row r="32" spans="1:34" ht="12" thickBot="1">
      <c r="A32" s="20" t="s">
        <v>35</v>
      </c>
      <c r="B32" s="20" t="s">
        <v>36</v>
      </c>
      <c r="C32" s="20">
        <v>27</v>
      </c>
      <c r="D32" s="34">
        <f t="shared" si="0"/>
        <v>1491.4124999999999</v>
      </c>
      <c r="E32" s="34">
        <f t="shared" si="1"/>
        <v>41.224499999999999</v>
      </c>
      <c r="F32" s="34">
        <f t="shared" si="2"/>
        <v>1491.4124999999999</v>
      </c>
      <c r="G32" s="34">
        <f t="shared" si="3"/>
        <v>41.295900000000003</v>
      </c>
      <c r="H32" s="34">
        <f t="shared" si="4"/>
        <v>1357.1</v>
      </c>
      <c r="I32" s="34">
        <f t="shared" si="5"/>
        <v>40.9651</v>
      </c>
      <c r="J32" s="34">
        <f t="shared" si="6"/>
        <v>1357.1</v>
      </c>
      <c r="K32" s="35">
        <f t="shared" si="7"/>
        <v>41.086799999999997</v>
      </c>
      <c r="L32" s="18">
        <v>11793.270399999999</v>
      </c>
      <c r="M32" s="18">
        <v>38.462200000000003</v>
      </c>
      <c r="N32" s="18">
        <v>41.041899999999998</v>
      </c>
      <c r="O32" s="18">
        <v>41.251600000000003</v>
      </c>
      <c r="P32" s="16">
        <v>1491.4124999999999</v>
      </c>
      <c r="Q32" s="16">
        <v>37.724299999999999</v>
      </c>
      <c r="R32" s="16">
        <v>41.224499999999999</v>
      </c>
      <c r="S32" s="16">
        <v>41.295900000000003</v>
      </c>
      <c r="T32" s="16">
        <v>129.18799999999999</v>
      </c>
      <c r="U32" s="17"/>
      <c r="V32" s="18">
        <f t="shared" si="8"/>
        <v>3.5885555555555552E-2</v>
      </c>
      <c r="W32" s="21" t="str">
        <f t="shared" si="9"/>
        <v>!</v>
      </c>
      <c r="X32" s="16">
        <v>1357.1</v>
      </c>
      <c r="Y32" s="16">
        <v>37.7288</v>
      </c>
      <c r="Z32" s="16">
        <v>40.9651</v>
      </c>
      <c r="AA32" s="16">
        <v>41.086799999999997</v>
      </c>
      <c r="AB32" s="16">
        <v>9.2970000000000006</v>
      </c>
      <c r="AC32" s="16"/>
      <c r="AD32" s="18">
        <f t="shared" si="10"/>
        <v>2.5825000000000002E-3</v>
      </c>
      <c r="AE32" s="22"/>
      <c r="AF32" s="22"/>
      <c r="AG32" s="22"/>
      <c r="AH32" s="19">
        <f t="shared" si="12"/>
        <v>7.1964888379725686E-2</v>
      </c>
    </row>
    <row r="33" spans="1:34" ht="12" thickBot="1">
      <c r="A33" s="20"/>
      <c r="B33" s="20"/>
      <c r="C33" s="20">
        <v>32</v>
      </c>
      <c r="D33" s="34">
        <f t="shared" si="0"/>
        <v>753.38750000000005</v>
      </c>
      <c r="E33" s="34">
        <f t="shared" si="1"/>
        <v>39.061900000000001</v>
      </c>
      <c r="F33" s="34">
        <f t="shared" si="2"/>
        <v>753.38750000000005</v>
      </c>
      <c r="G33" s="34">
        <f t="shared" si="3"/>
        <v>38.976300000000002</v>
      </c>
      <c r="H33" s="34">
        <f t="shared" si="4"/>
        <v>659.53750000000002</v>
      </c>
      <c r="I33" s="34">
        <f t="shared" si="5"/>
        <v>38.889200000000002</v>
      </c>
      <c r="J33" s="34">
        <f t="shared" si="6"/>
        <v>659.53750000000002</v>
      </c>
      <c r="K33" s="35">
        <f t="shared" si="7"/>
        <v>38.770099999999999</v>
      </c>
      <c r="L33" s="18">
        <v>6284.8608000000004</v>
      </c>
      <c r="M33" s="18">
        <v>35.527200000000001</v>
      </c>
      <c r="N33" s="18">
        <v>38.550800000000002</v>
      </c>
      <c r="O33" s="18">
        <v>38.521900000000002</v>
      </c>
      <c r="P33" s="16">
        <v>753.38750000000005</v>
      </c>
      <c r="Q33" s="16">
        <v>34.848799999999997</v>
      </c>
      <c r="R33" s="16">
        <v>39.061900000000001</v>
      </c>
      <c r="S33" s="16">
        <v>38.976300000000002</v>
      </c>
      <c r="T33" s="16">
        <v>111.96899999999999</v>
      </c>
      <c r="U33" s="17"/>
      <c r="V33" s="18">
        <f t="shared" si="8"/>
        <v>3.1102499999999998E-2</v>
      </c>
      <c r="W33" s="21" t="str">
        <f t="shared" si="9"/>
        <v>!</v>
      </c>
      <c r="X33" s="16">
        <v>659.53750000000002</v>
      </c>
      <c r="Y33" s="16">
        <v>34.741599999999998</v>
      </c>
      <c r="Z33" s="16">
        <v>38.889200000000002</v>
      </c>
      <c r="AA33" s="16">
        <v>38.770099999999999</v>
      </c>
      <c r="AB33" s="16">
        <v>6.4059999999999997</v>
      </c>
      <c r="AC33" s="16"/>
      <c r="AD33" s="18">
        <f t="shared" si="10"/>
        <v>1.7794444444444444E-3</v>
      </c>
      <c r="AE33" s="22"/>
      <c r="AF33" s="22"/>
      <c r="AG33" s="22"/>
      <c r="AH33" s="19">
        <f t="shared" si="12"/>
        <v>5.721226410881583E-2</v>
      </c>
    </row>
    <row r="34" spans="1:34" ht="12" thickBot="1">
      <c r="A34" s="20"/>
      <c r="B34" s="23"/>
      <c r="C34" s="23">
        <v>37</v>
      </c>
      <c r="D34" s="36">
        <f t="shared" si="0"/>
        <v>387.72500000000002</v>
      </c>
      <c r="E34" s="36">
        <f t="shared" si="1"/>
        <v>37.072600000000001</v>
      </c>
      <c r="F34" s="36">
        <f t="shared" si="2"/>
        <v>387.72500000000002</v>
      </c>
      <c r="G34" s="36">
        <f t="shared" si="3"/>
        <v>36.811599999999999</v>
      </c>
      <c r="H34" s="36">
        <f t="shared" si="4"/>
        <v>338.32499999999999</v>
      </c>
      <c r="I34" s="36">
        <f t="shared" si="5"/>
        <v>37.073900000000002</v>
      </c>
      <c r="J34" s="36">
        <f t="shared" si="6"/>
        <v>338.32499999999999</v>
      </c>
      <c r="K34" s="37">
        <f t="shared" si="7"/>
        <v>36.694699999999997</v>
      </c>
      <c r="L34" s="26">
        <v>3375.4351999999999</v>
      </c>
      <c r="M34" s="26">
        <v>32.893099999999997</v>
      </c>
      <c r="N34" s="26">
        <v>36.227400000000003</v>
      </c>
      <c r="O34" s="26">
        <v>35.955500000000001</v>
      </c>
      <c r="P34" s="27">
        <v>387.72500000000002</v>
      </c>
      <c r="Q34" s="27">
        <v>32.238199999999999</v>
      </c>
      <c r="R34" s="27">
        <v>37.072600000000001</v>
      </c>
      <c r="S34" s="27">
        <v>36.811599999999999</v>
      </c>
      <c r="T34" s="27">
        <v>99.625</v>
      </c>
      <c r="U34" s="28"/>
      <c r="V34" s="26">
        <f t="shared" si="8"/>
        <v>2.7673611111111111E-2</v>
      </c>
      <c r="W34" s="21" t="str">
        <f t="shared" si="9"/>
        <v>!</v>
      </c>
      <c r="X34" s="27">
        <v>338.32499999999999</v>
      </c>
      <c r="Y34" s="27">
        <v>32.154200000000003</v>
      </c>
      <c r="Z34" s="27">
        <v>37.073900000000002</v>
      </c>
      <c r="AA34" s="27">
        <v>36.694699999999997</v>
      </c>
      <c r="AB34" s="27">
        <v>4.5</v>
      </c>
      <c r="AC34" s="27"/>
      <c r="AD34" s="26">
        <f t="shared" si="10"/>
        <v>1.25E-3</v>
      </c>
      <c r="AE34" s="23"/>
      <c r="AF34" s="23"/>
      <c r="AG34" s="23"/>
      <c r="AH34" s="19">
        <f t="shared" si="12"/>
        <v>4.51693851944793E-2</v>
      </c>
    </row>
    <row r="35" spans="1:34" ht="12" thickBot="1">
      <c r="A35" s="20"/>
      <c r="B35" s="12" t="s">
        <v>37</v>
      </c>
      <c r="C35" s="12">
        <v>22</v>
      </c>
      <c r="D35" s="32">
        <f t="shared" si="0"/>
        <v>4274.2650000000003</v>
      </c>
      <c r="E35" s="32">
        <f t="shared" si="1"/>
        <v>43.1173</v>
      </c>
      <c r="F35" s="32">
        <f t="shared" si="2"/>
        <v>4274.2650000000003</v>
      </c>
      <c r="G35" s="32">
        <f t="shared" si="3"/>
        <v>44.595199999999998</v>
      </c>
      <c r="H35" s="32">
        <f t="shared" si="4"/>
        <v>4125.2550000000001</v>
      </c>
      <c r="I35" s="32">
        <f t="shared" si="5"/>
        <v>43.187199999999997</v>
      </c>
      <c r="J35" s="32">
        <f t="shared" si="6"/>
        <v>4125.2550000000001</v>
      </c>
      <c r="K35" s="33">
        <f t="shared" si="7"/>
        <v>44.658999999999999</v>
      </c>
      <c r="L35" s="15">
        <v>24353.02</v>
      </c>
      <c r="M35" s="15">
        <v>42.011499999999998</v>
      </c>
      <c r="N35" s="15">
        <v>44.019100000000002</v>
      </c>
      <c r="O35" s="15">
        <v>45.359699999999997</v>
      </c>
      <c r="P35" s="29">
        <v>4274.2650000000003</v>
      </c>
      <c r="Q35" s="29">
        <v>39.647500000000001</v>
      </c>
      <c r="R35" s="29">
        <v>43.1173</v>
      </c>
      <c r="S35" s="29">
        <v>44.595199999999998</v>
      </c>
      <c r="T35" s="29">
        <v>145.93799999999999</v>
      </c>
      <c r="U35" s="17"/>
      <c r="V35" s="15">
        <f t="shared" si="8"/>
        <v>4.0538333333333329E-2</v>
      </c>
      <c r="W35" s="21" t="str">
        <f t="shared" si="9"/>
        <v>!</v>
      </c>
      <c r="X35" s="29">
        <v>4125.2550000000001</v>
      </c>
      <c r="Y35" s="29">
        <v>39.615000000000002</v>
      </c>
      <c r="Z35" s="29">
        <v>43.187199999999997</v>
      </c>
      <c r="AA35" s="29">
        <v>44.658999999999999</v>
      </c>
      <c r="AB35" s="29">
        <v>13.452999999999999</v>
      </c>
      <c r="AC35" s="29"/>
      <c r="AD35" s="15">
        <f t="shared" si="10"/>
        <v>3.7369444444444442E-3</v>
      </c>
      <c r="AE35" s="19">
        <f>RBJM($P35:$Q38,X35:Y38)</f>
        <v>-1.2919946199398291</v>
      </c>
      <c r="AF35" s="19">
        <f>RBJM($D35:$E38,H35:I38)</f>
        <v>-0.25102002216886854</v>
      </c>
      <c r="AG35" s="19">
        <f>RBJM($F35:$G38,J35:K38)</f>
        <v>1.8765796029827531</v>
      </c>
      <c r="AH35" s="19">
        <f t="shared" si="12"/>
        <v>9.218298181419507E-2</v>
      </c>
    </row>
    <row r="36" spans="1:34" ht="12" thickBot="1">
      <c r="A36" s="20"/>
      <c r="B36" s="20" t="s">
        <v>38</v>
      </c>
      <c r="C36" s="20">
        <v>27</v>
      </c>
      <c r="D36" s="34">
        <f t="shared" si="0"/>
        <v>2010.96</v>
      </c>
      <c r="E36" s="34">
        <f t="shared" si="1"/>
        <v>41.197499999999998</v>
      </c>
      <c r="F36" s="34">
        <f t="shared" si="2"/>
        <v>2010.96</v>
      </c>
      <c r="G36" s="34">
        <f t="shared" si="3"/>
        <v>42.196599999999997</v>
      </c>
      <c r="H36" s="34">
        <f t="shared" si="4"/>
        <v>1935</v>
      </c>
      <c r="I36" s="34">
        <f t="shared" si="5"/>
        <v>41.067999999999998</v>
      </c>
      <c r="J36" s="34">
        <f t="shared" si="6"/>
        <v>1935</v>
      </c>
      <c r="K36" s="35">
        <f t="shared" si="7"/>
        <v>41.956699999999998</v>
      </c>
      <c r="L36" s="18">
        <v>14539.099200000001</v>
      </c>
      <c r="M36" s="18">
        <v>39.055500000000002</v>
      </c>
      <c r="N36" s="18">
        <v>41.711399999999998</v>
      </c>
      <c r="O36" s="18">
        <v>42.8628</v>
      </c>
      <c r="P36" s="16">
        <v>2010.96</v>
      </c>
      <c r="Q36" s="16">
        <v>36.950099999999999</v>
      </c>
      <c r="R36" s="16">
        <v>41.197499999999998</v>
      </c>
      <c r="S36" s="16">
        <v>42.196599999999997</v>
      </c>
      <c r="T36" s="16">
        <v>115.812</v>
      </c>
      <c r="U36" s="17"/>
      <c r="V36" s="18">
        <f t="shared" si="8"/>
        <v>3.2169999999999997E-2</v>
      </c>
      <c r="W36" s="21" t="str">
        <f t="shared" si="9"/>
        <v>!</v>
      </c>
      <c r="X36" s="16">
        <v>1935</v>
      </c>
      <c r="Y36" s="16">
        <v>36.866199999999999</v>
      </c>
      <c r="Z36" s="16">
        <v>41.067999999999998</v>
      </c>
      <c r="AA36" s="16">
        <v>41.956699999999998</v>
      </c>
      <c r="AB36" s="16">
        <v>8.6720000000000006</v>
      </c>
      <c r="AC36" s="16"/>
      <c r="AD36" s="18">
        <f t="shared" si="10"/>
        <v>2.4088888888888892E-3</v>
      </c>
      <c r="AE36" s="22"/>
      <c r="AF36" s="22"/>
      <c r="AG36" s="22"/>
      <c r="AH36" s="19">
        <f t="shared" si="12"/>
        <v>7.487997789520949E-2</v>
      </c>
    </row>
    <row r="37" spans="1:34" ht="12" thickBot="1">
      <c r="A37" s="20"/>
      <c r="B37" s="20"/>
      <c r="C37" s="20">
        <v>32</v>
      </c>
      <c r="D37" s="34">
        <f t="shared" si="0"/>
        <v>1057.2149999999999</v>
      </c>
      <c r="E37" s="34">
        <f t="shared" si="1"/>
        <v>39.305500000000002</v>
      </c>
      <c r="F37" s="34">
        <f t="shared" si="2"/>
        <v>1057.2149999999999</v>
      </c>
      <c r="G37" s="34">
        <f t="shared" si="3"/>
        <v>40.009900000000002</v>
      </c>
      <c r="H37" s="34">
        <f t="shared" si="4"/>
        <v>984.84</v>
      </c>
      <c r="I37" s="34">
        <f t="shared" si="5"/>
        <v>39.084299999999999</v>
      </c>
      <c r="J37" s="34">
        <f t="shared" si="6"/>
        <v>984.84</v>
      </c>
      <c r="K37" s="35">
        <f t="shared" si="7"/>
        <v>39.769300000000001</v>
      </c>
      <c r="L37" s="18">
        <v>8524.9287999999997</v>
      </c>
      <c r="M37" s="18">
        <v>36.032299999999999</v>
      </c>
      <c r="N37" s="18">
        <v>39.697499999999998</v>
      </c>
      <c r="O37" s="18">
        <v>40.692399999999999</v>
      </c>
      <c r="P37" s="16">
        <v>1057.2149999999999</v>
      </c>
      <c r="Q37" s="16">
        <v>34.163400000000003</v>
      </c>
      <c r="R37" s="16">
        <v>39.305500000000002</v>
      </c>
      <c r="S37" s="16">
        <v>40.009900000000002</v>
      </c>
      <c r="T37" s="16">
        <v>99.968999999999994</v>
      </c>
      <c r="U37" s="17"/>
      <c r="V37" s="18">
        <f t="shared" si="8"/>
        <v>2.7769166666666664E-2</v>
      </c>
      <c r="W37" s="21" t="str">
        <f t="shared" si="9"/>
        <v>!</v>
      </c>
      <c r="X37" s="16">
        <v>984.84</v>
      </c>
      <c r="Y37" s="16">
        <v>33.854100000000003</v>
      </c>
      <c r="Z37" s="16">
        <v>39.084299999999999</v>
      </c>
      <c r="AA37" s="16">
        <v>39.769300000000001</v>
      </c>
      <c r="AB37" s="16">
        <v>6.0309999999999997</v>
      </c>
      <c r="AC37" s="16"/>
      <c r="AD37" s="18">
        <f t="shared" si="10"/>
        <v>1.6752777777777777E-3</v>
      </c>
      <c r="AE37" s="22"/>
      <c r="AF37" s="22"/>
      <c r="AG37" s="22"/>
      <c r="AH37" s="19">
        <f t="shared" si="12"/>
        <v>6.0328701897588252E-2</v>
      </c>
    </row>
    <row r="38" spans="1:34" ht="12" thickBot="1">
      <c r="A38" s="20"/>
      <c r="B38" s="23"/>
      <c r="C38" s="23">
        <v>37</v>
      </c>
      <c r="D38" s="36">
        <f t="shared" si="0"/>
        <v>562.755</v>
      </c>
      <c r="E38" s="36">
        <f t="shared" si="1"/>
        <v>37.695099999999996</v>
      </c>
      <c r="F38" s="36">
        <f t="shared" si="2"/>
        <v>562.755</v>
      </c>
      <c r="G38" s="36">
        <f t="shared" si="3"/>
        <v>38.288899999999998</v>
      </c>
      <c r="H38" s="36">
        <f t="shared" si="4"/>
        <v>512.49</v>
      </c>
      <c r="I38" s="36">
        <f t="shared" si="5"/>
        <v>37.473500000000001</v>
      </c>
      <c r="J38" s="36">
        <f t="shared" si="6"/>
        <v>512.49</v>
      </c>
      <c r="K38" s="37">
        <f t="shared" si="7"/>
        <v>37.769399999999997</v>
      </c>
      <c r="L38" s="26">
        <v>4795.9848000000002</v>
      </c>
      <c r="M38" s="26">
        <v>32.9818</v>
      </c>
      <c r="N38" s="26">
        <v>37.753500000000003</v>
      </c>
      <c r="O38" s="26">
        <v>38.603900000000003</v>
      </c>
      <c r="P38" s="27">
        <v>562.755</v>
      </c>
      <c r="Q38" s="27">
        <v>31.231200000000001</v>
      </c>
      <c r="R38" s="27">
        <v>37.695099999999996</v>
      </c>
      <c r="S38" s="27">
        <v>38.288899999999998</v>
      </c>
      <c r="T38" s="27">
        <v>90.358999999999995</v>
      </c>
      <c r="U38" s="28"/>
      <c r="V38" s="26">
        <f t="shared" si="8"/>
        <v>2.5099722222222221E-2</v>
      </c>
      <c r="W38" s="21" t="str">
        <f t="shared" si="9"/>
        <v>!</v>
      </c>
      <c r="X38" s="27">
        <v>512.49</v>
      </c>
      <c r="Y38" s="27">
        <v>30.887</v>
      </c>
      <c r="Z38" s="27">
        <v>37.473500000000001</v>
      </c>
      <c r="AA38" s="27">
        <v>37.769399999999997</v>
      </c>
      <c r="AB38" s="27">
        <v>4.4530000000000003</v>
      </c>
      <c r="AC38" s="27"/>
      <c r="AD38" s="26">
        <f t="shared" si="10"/>
        <v>1.2369444444444446E-3</v>
      </c>
      <c r="AE38" s="23"/>
      <c r="AF38" s="23"/>
      <c r="AG38" s="23"/>
      <c r="AH38" s="19">
        <f t="shared" si="12"/>
        <v>4.9281200544494745E-2</v>
      </c>
    </row>
    <row r="39" spans="1:34" ht="12" thickBot="1">
      <c r="A39" s="20"/>
      <c r="B39" s="12" t="s">
        <v>39</v>
      </c>
      <c r="C39" s="12">
        <v>22</v>
      </c>
      <c r="D39" s="32">
        <f t="shared" si="0"/>
        <v>9690.4125000000004</v>
      </c>
      <c r="E39" s="32">
        <f t="shared" si="1"/>
        <v>40.951500000000003</v>
      </c>
      <c r="F39" s="32">
        <f t="shared" si="2"/>
        <v>9690.4125000000004</v>
      </c>
      <c r="G39" s="32">
        <f t="shared" si="3"/>
        <v>41.507199999999997</v>
      </c>
      <c r="H39" s="32">
        <f t="shared" si="4"/>
        <v>9349.9249999999993</v>
      </c>
      <c r="I39" s="32">
        <f t="shared" si="5"/>
        <v>40.833500000000001</v>
      </c>
      <c r="J39" s="32">
        <f t="shared" si="6"/>
        <v>9349.9249999999993</v>
      </c>
      <c r="K39" s="33">
        <f t="shared" si="7"/>
        <v>41.444200000000002</v>
      </c>
      <c r="L39" s="15">
        <v>45707.029600000002</v>
      </c>
      <c r="M39" s="15">
        <v>41.210299999999997</v>
      </c>
      <c r="N39" s="15">
        <v>42.479900000000001</v>
      </c>
      <c r="O39" s="15">
        <v>43.316099999999999</v>
      </c>
      <c r="P39" s="29">
        <v>9690.4125000000004</v>
      </c>
      <c r="Q39" s="29">
        <v>38.014099999999999</v>
      </c>
      <c r="R39" s="29">
        <v>40.951500000000003</v>
      </c>
      <c r="S39" s="29">
        <v>41.507199999999997</v>
      </c>
      <c r="T39" s="29">
        <v>212.15600000000001</v>
      </c>
      <c r="U39" s="17"/>
      <c r="V39" s="15">
        <f t="shared" si="8"/>
        <v>5.8932222222222226E-2</v>
      </c>
      <c r="W39" s="21" t="str">
        <f t="shared" si="9"/>
        <v>!</v>
      </c>
      <c r="X39" s="29">
        <v>9349.9249999999993</v>
      </c>
      <c r="Y39" s="29">
        <v>37.8733</v>
      </c>
      <c r="Z39" s="29">
        <v>40.833500000000001</v>
      </c>
      <c r="AA39" s="29">
        <v>41.444200000000002</v>
      </c>
      <c r="AB39" s="29">
        <v>22.719000000000001</v>
      </c>
      <c r="AC39" s="29"/>
      <c r="AD39" s="15">
        <f t="shared" si="10"/>
        <v>6.3108333333333341E-3</v>
      </c>
      <c r="AE39" s="19">
        <f>RBJM($P39:$Q42,X39:Y42)</f>
        <v>-0.72223843424450429</v>
      </c>
      <c r="AF39" s="19">
        <f>RBJM($D39:$E42,H39:I42)</f>
        <v>7.4265910330387541</v>
      </c>
      <c r="AG39" s="19">
        <f>RBJM($F39:$G42,J39:K42)</f>
        <v>3.9039093823114213</v>
      </c>
      <c r="AH39" s="19">
        <f t="shared" si="12"/>
        <v>0.10708629499047871</v>
      </c>
    </row>
    <row r="40" spans="1:34" ht="12" thickBot="1">
      <c r="A40" s="20"/>
      <c r="B40" s="20" t="s">
        <v>40</v>
      </c>
      <c r="C40" s="20">
        <v>27</v>
      </c>
      <c r="D40" s="34">
        <f t="shared" si="0"/>
        <v>4511.95</v>
      </c>
      <c r="E40" s="34">
        <f t="shared" si="1"/>
        <v>38.450400000000002</v>
      </c>
      <c r="F40" s="34">
        <f t="shared" si="2"/>
        <v>4511.95</v>
      </c>
      <c r="G40" s="34">
        <f t="shared" si="3"/>
        <v>38.846200000000003</v>
      </c>
      <c r="H40" s="34">
        <f t="shared" si="4"/>
        <v>4368.3</v>
      </c>
      <c r="I40" s="34">
        <f t="shared" si="5"/>
        <v>38.127000000000002</v>
      </c>
      <c r="J40" s="34">
        <f t="shared" si="6"/>
        <v>4368.3</v>
      </c>
      <c r="K40" s="35">
        <f t="shared" si="7"/>
        <v>38.630299999999998</v>
      </c>
      <c r="L40" s="18">
        <v>28195.8976</v>
      </c>
      <c r="M40" s="18">
        <v>36.911200000000001</v>
      </c>
      <c r="N40" s="18">
        <v>39.229399999999998</v>
      </c>
      <c r="O40" s="18">
        <v>40.011699999999998</v>
      </c>
      <c r="P40" s="16">
        <v>4511.95</v>
      </c>
      <c r="Q40" s="16">
        <v>33.957700000000003</v>
      </c>
      <c r="R40" s="16">
        <v>38.450400000000002</v>
      </c>
      <c r="S40" s="16">
        <v>38.846200000000003</v>
      </c>
      <c r="T40" s="16">
        <v>158.31200000000001</v>
      </c>
      <c r="U40" s="17"/>
      <c r="V40" s="18">
        <f t="shared" si="8"/>
        <v>4.3975555555555559E-2</v>
      </c>
      <c r="W40" s="21" t="str">
        <f t="shared" si="9"/>
        <v>!</v>
      </c>
      <c r="X40" s="16">
        <v>4368.3</v>
      </c>
      <c r="Y40" s="16">
        <v>33.812199999999997</v>
      </c>
      <c r="Z40" s="16">
        <v>38.127000000000002</v>
      </c>
      <c r="AA40" s="16">
        <v>38.630299999999998</v>
      </c>
      <c r="AB40" s="16">
        <v>15.811999999999999</v>
      </c>
      <c r="AC40" s="16"/>
      <c r="AD40" s="18">
        <f t="shared" si="10"/>
        <v>4.3922222222222218E-3</v>
      </c>
      <c r="AE40" s="22"/>
      <c r="AF40" s="22"/>
      <c r="AG40" s="22"/>
      <c r="AH40" s="19">
        <f t="shared" si="12"/>
        <v>9.9878720501288584E-2</v>
      </c>
    </row>
    <row r="41" spans="1:34" ht="12" thickBot="1">
      <c r="A41" s="20"/>
      <c r="B41" s="20"/>
      <c r="C41" s="20">
        <v>32</v>
      </c>
      <c r="D41" s="34">
        <f t="shared" si="0"/>
        <v>2206.4250000000002</v>
      </c>
      <c r="E41" s="34">
        <f t="shared" si="1"/>
        <v>36.456600000000002</v>
      </c>
      <c r="F41" s="34">
        <f t="shared" si="2"/>
        <v>2206.4250000000002</v>
      </c>
      <c r="G41" s="34">
        <f t="shared" si="3"/>
        <v>36.700200000000002</v>
      </c>
      <c r="H41" s="34">
        <f t="shared" si="4"/>
        <v>2066.6875</v>
      </c>
      <c r="I41" s="34">
        <f t="shared" si="5"/>
        <v>36.073300000000003</v>
      </c>
      <c r="J41" s="34">
        <f t="shared" si="6"/>
        <v>2066.6875</v>
      </c>
      <c r="K41" s="35">
        <f t="shared" si="7"/>
        <v>36.4009</v>
      </c>
      <c r="L41" s="18">
        <v>16773.642400000001</v>
      </c>
      <c r="M41" s="18">
        <v>33.149000000000001</v>
      </c>
      <c r="N41" s="18">
        <v>36.830399999999997</v>
      </c>
      <c r="O41" s="18">
        <v>37.551200000000001</v>
      </c>
      <c r="P41" s="16">
        <v>2206.4250000000002</v>
      </c>
      <c r="Q41" s="16">
        <v>30.605499999999999</v>
      </c>
      <c r="R41" s="16">
        <v>36.456600000000002</v>
      </c>
      <c r="S41" s="16">
        <v>36.700200000000002</v>
      </c>
      <c r="T41" s="16">
        <v>127.828</v>
      </c>
      <c r="U41" s="17"/>
      <c r="V41" s="18">
        <f t="shared" si="8"/>
        <v>3.5507777777777777E-2</v>
      </c>
      <c r="W41" s="21" t="str">
        <f t="shared" si="9"/>
        <v>!</v>
      </c>
      <c r="X41" s="16">
        <v>2066.6875</v>
      </c>
      <c r="Y41" s="16">
        <v>30.3644</v>
      </c>
      <c r="Z41" s="16">
        <v>36.073300000000003</v>
      </c>
      <c r="AA41" s="16">
        <v>36.4009</v>
      </c>
      <c r="AB41" s="16">
        <v>10.968999999999999</v>
      </c>
      <c r="AC41" s="16"/>
      <c r="AD41" s="18">
        <f t="shared" si="10"/>
        <v>3.0469444444444441E-3</v>
      </c>
      <c r="AE41" s="22"/>
      <c r="AF41" s="22"/>
      <c r="AG41" s="22"/>
      <c r="AH41" s="19">
        <f t="shared" si="12"/>
        <v>8.5810620521325529E-2</v>
      </c>
    </row>
    <row r="42" spans="1:34" ht="12" thickBot="1">
      <c r="A42" s="20"/>
      <c r="B42" s="23"/>
      <c r="C42" s="23">
        <v>37</v>
      </c>
      <c r="D42" s="36">
        <f t="shared" si="0"/>
        <v>1028.825</v>
      </c>
      <c r="E42" s="36">
        <f t="shared" si="1"/>
        <v>34.952500000000001</v>
      </c>
      <c r="F42" s="36">
        <f t="shared" si="2"/>
        <v>1028.825</v>
      </c>
      <c r="G42" s="36">
        <f t="shared" si="3"/>
        <v>34.974699999999999</v>
      </c>
      <c r="H42" s="36">
        <f t="shared" si="4"/>
        <v>960.375</v>
      </c>
      <c r="I42" s="36">
        <f t="shared" si="5"/>
        <v>34.611699999999999</v>
      </c>
      <c r="J42" s="36">
        <f t="shared" si="6"/>
        <v>960.375</v>
      </c>
      <c r="K42" s="37">
        <f t="shared" si="7"/>
        <v>34.568100000000001</v>
      </c>
      <c r="L42" s="26">
        <v>8924.348</v>
      </c>
      <c r="M42" s="26">
        <v>29.427399999999999</v>
      </c>
      <c r="N42" s="26">
        <v>34.7866</v>
      </c>
      <c r="O42" s="26">
        <v>35.4544</v>
      </c>
      <c r="P42" s="27">
        <v>1028.825</v>
      </c>
      <c r="Q42" s="27">
        <v>27.569199999999999</v>
      </c>
      <c r="R42" s="27">
        <v>34.952500000000001</v>
      </c>
      <c r="S42" s="27">
        <v>34.974699999999999</v>
      </c>
      <c r="T42" s="27">
        <v>105.21899999999999</v>
      </c>
      <c r="U42" s="28"/>
      <c r="V42" s="26">
        <f t="shared" si="8"/>
        <v>2.92275E-2</v>
      </c>
      <c r="W42" s="21" t="str">
        <f t="shared" si="9"/>
        <v>!</v>
      </c>
      <c r="X42" s="27">
        <v>960.375</v>
      </c>
      <c r="Y42" s="27">
        <v>27.3736</v>
      </c>
      <c r="Z42" s="27">
        <v>34.611699999999999</v>
      </c>
      <c r="AA42" s="27">
        <v>34.568100000000001</v>
      </c>
      <c r="AB42" s="27">
        <v>7.5620000000000003</v>
      </c>
      <c r="AC42" s="27"/>
      <c r="AD42" s="26">
        <f t="shared" si="10"/>
        <v>2.1005555555555556E-3</v>
      </c>
      <c r="AE42" s="23"/>
      <c r="AF42" s="23"/>
      <c r="AG42" s="23"/>
      <c r="AH42" s="19">
        <f t="shared" si="12"/>
        <v>7.1869149108050839E-2</v>
      </c>
    </row>
    <row r="43" spans="1:34" ht="12" thickBot="1">
      <c r="A43" s="20"/>
      <c r="B43" s="12" t="s">
        <v>41</v>
      </c>
      <c r="C43" s="12">
        <v>22</v>
      </c>
      <c r="D43" s="32">
        <f t="shared" si="0"/>
        <v>5333.8575000000001</v>
      </c>
      <c r="E43" s="32">
        <f t="shared" si="1"/>
        <v>41.036200000000001</v>
      </c>
      <c r="F43" s="32">
        <f t="shared" si="2"/>
        <v>5333.8575000000001</v>
      </c>
      <c r="G43" s="32">
        <f t="shared" si="3"/>
        <v>42.056100000000001</v>
      </c>
      <c r="H43" s="32">
        <f t="shared" si="4"/>
        <v>5142.8474999999999</v>
      </c>
      <c r="I43" s="32">
        <f t="shared" si="5"/>
        <v>40.688499999999998</v>
      </c>
      <c r="J43" s="32">
        <f t="shared" si="6"/>
        <v>5142.8474999999999</v>
      </c>
      <c r="K43" s="33">
        <f t="shared" si="7"/>
        <v>41.684800000000003</v>
      </c>
      <c r="L43" s="15">
        <v>15480.86</v>
      </c>
      <c r="M43" s="15">
        <v>42.440300000000001</v>
      </c>
      <c r="N43" s="15">
        <v>43.707099999999997</v>
      </c>
      <c r="O43" s="15">
        <v>44.45</v>
      </c>
      <c r="P43" s="29">
        <v>5333.8575000000001</v>
      </c>
      <c r="Q43" s="29">
        <v>38.418399999999998</v>
      </c>
      <c r="R43" s="29">
        <v>41.036200000000001</v>
      </c>
      <c r="S43" s="29">
        <v>42.056100000000001</v>
      </c>
      <c r="T43" s="29">
        <v>260.81200000000001</v>
      </c>
      <c r="U43" s="17"/>
      <c r="V43" s="15">
        <f t="shared" si="8"/>
        <v>7.2447777777777778E-2</v>
      </c>
      <c r="W43" s="21" t="str">
        <f t="shared" si="9"/>
        <v>!</v>
      </c>
      <c r="X43" s="29">
        <v>5142.8474999999999</v>
      </c>
      <c r="Y43" s="29">
        <v>38.228099999999998</v>
      </c>
      <c r="Z43" s="29">
        <v>40.688499999999998</v>
      </c>
      <c r="AA43" s="29">
        <v>41.684800000000003</v>
      </c>
      <c r="AB43" s="29">
        <v>25.890999999999998</v>
      </c>
      <c r="AC43" s="29"/>
      <c r="AD43" s="15">
        <f t="shared" si="10"/>
        <v>7.1919444444444444E-3</v>
      </c>
      <c r="AE43" s="19">
        <f>RBJM($P43:$Q46,X43:Y46)</f>
        <v>0.84827605884025825</v>
      </c>
      <c r="AF43" s="19">
        <f>RBJM($D43:$E46,H43:I46)</f>
        <v>24.880937726951167</v>
      </c>
      <c r="AG43" s="19">
        <f>RBJM($F43:$G46,J43:K46)</f>
        <v>26.803582233946077</v>
      </c>
      <c r="AH43" s="19">
        <f t="shared" si="12"/>
        <v>9.9270739076422851E-2</v>
      </c>
    </row>
    <row r="44" spans="1:34" ht="12" thickBot="1">
      <c r="A44" s="20"/>
      <c r="B44" s="20" t="s">
        <v>42</v>
      </c>
      <c r="C44" s="20">
        <v>27</v>
      </c>
      <c r="D44" s="34">
        <f t="shared" si="0"/>
        <v>2182.4699999999998</v>
      </c>
      <c r="E44" s="34">
        <f t="shared" si="1"/>
        <v>38.739699999999999</v>
      </c>
      <c r="F44" s="34">
        <f t="shared" si="2"/>
        <v>2182.4699999999998</v>
      </c>
      <c r="G44" s="34">
        <f t="shared" si="3"/>
        <v>39.812899999999999</v>
      </c>
      <c r="H44" s="34">
        <f t="shared" si="4"/>
        <v>2140.59</v>
      </c>
      <c r="I44" s="34">
        <f t="shared" si="5"/>
        <v>38.184800000000003</v>
      </c>
      <c r="J44" s="34">
        <f t="shared" si="6"/>
        <v>2140.59</v>
      </c>
      <c r="K44" s="35">
        <f t="shared" si="7"/>
        <v>39.236899999999999</v>
      </c>
      <c r="L44" s="18">
        <v>9358.1551999999992</v>
      </c>
      <c r="M44" s="18">
        <v>39.042499999999997</v>
      </c>
      <c r="N44" s="18">
        <v>40.424399999999999</v>
      </c>
      <c r="O44" s="18">
        <v>41.762599999999999</v>
      </c>
      <c r="P44" s="16">
        <v>2182.4699999999998</v>
      </c>
      <c r="Q44" s="16">
        <v>34.778399999999998</v>
      </c>
      <c r="R44" s="16">
        <v>38.739699999999999</v>
      </c>
      <c r="S44" s="16">
        <v>39.812899999999999</v>
      </c>
      <c r="T44" s="16">
        <v>194.46899999999999</v>
      </c>
      <c r="U44" s="17"/>
      <c r="V44" s="18">
        <f t="shared" si="8"/>
        <v>5.4019166666666667E-2</v>
      </c>
      <c r="W44" s="21" t="str">
        <f t="shared" si="9"/>
        <v>!</v>
      </c>
      <c r="X44" s="16">
        <v>2140.59</v>
      </c>
      <c r="Y44" s="16">
        <v>34.639800000000001</v>
      </c>
      <c r="Z44" s="16">
        <v>38.184800000000003</v>
      </c>
      <c r="AA44" s="16">
        <v>39.236899999999999</v>
      </c>
      <c r="AB44" s="16">
        <v>16.655999999999999</v>
      </c>
      <c r="AC44" s="16"/>
      <c r="AD44" s="18">
        <f t="shared" si="10"/>
        <v>4.6266666666666661E-3</v>
      </c>
      <c r="AE44" s="22"/>
      <c r="AF44" s="22"/>
      <c r="AG44" s="22"/>
      <c r="AH44" s="19">
        <f t="shared" si="12"/>
        <v>8.5648612375237188E-2</v>
      </c>
    </row>
    <row r="45" spans="1:34" ht="12" thickBot="1">
      <c r="A45" s="20"/>
      <c r="B45" s="20"/>
      <c r="C45" s="20">
        <v>32</v>
      </c>
      <c r="D45" s="34">
        <f t="shared" si="0"/>
        <v>1056.5325</v>
      </c>
      <c r="E45" s="34">
        <f t="shared" si="1"/>
        <v>37.094499999999996</v>
      </c>
      <c r="F45" s="34">
        <f t="shared" si="2"/>
        <v>1056.5325</v>
      </c>
      <c r="G45" s="34">
        <f t="shared" si="3"/>
        <v>38.132399999999997</v>
      </c>
      <c r="H45" s="34">
        <f t="shared" si="4"/>
        <v>991.11749999999995</v>
      </c>
      <c r="I45" s="34">
        <f t="shared" si="5"/>
        <v>36.225499999999997</v>
      </c>
      <c r="J45" s="34">
        <f t="shared" si="6"/>
        <v>991.11749999999995</v>
      </c>
      <c r="K45" s="35">
        <f t="shared" si="7"/>
        <v>37.202800000000003</v>
      </c>
      <c r="L45" s="18">
        <v>5376.7592000000004</v>
      </c>
      <c r="M45" s="18">
        <v>35.700299999999999</v>
      </c>
      <c r="N45" s="18">
        <v>37.834600000000002</v>
      </c>
      <c r="O45" s="18">
        <v>39.664900000000003</v>
      </c>
      <c r="P45" s="16">
        <v>1056.5325</v>
      </c>
      <c r="Q45" s="16">
        <v>31.828199999999999</v>
      </c>
      <c r="R45" s="16">
        <v>37.094499999999996</v>
      </c>
      <c r="S45" s="16">
        <v>38.132399999999997</v>
      </c>
      <c r="T45" s="16">
        <v>160.56200000000001</v>
      </c>
      <c r="U45" s="17"/>
      <c r="V45" s="18">
        <f t="shared" si="8"/>
        <v>4.460055555555556E-2</v>
      </c>
      <c r="W45" s="21" t="str">
        <f t="shared" si="9"/>
        <v>!</v>
      </c>
      <c r="X45" s="16">
        <v>991.11749999999995</v>
      </c>
      <c r="Y45" s="16">
        <v>31.540299999999998</v>
      </c>
      <c r="Z45" s="16">
        <v>36.225499999999997</v>
      </c>
      <c r="AA45" s="16">
        <v>37.202800000000003</v>
      </c>
      <c r="AB45" s="16">
        <v>11.422000000000001</v>
      </c>
      <c r="AC45" s="16"/>
      <c r="AD45" s="18">
        <f t="shared" si="10"/>
        <v>3.1727777777777778E-3</v>
      </c>
      <c r="AE45" s="22"/>
      <c r="AF45" s="22"/>
      <c r="AG45" s="22"/>
      <c r="AH45" s="19">
        <f t="shared" si="12"/>
        <v>7.1137629077864001E-2</v>
      </c>
    </row>
    <row r="46" spans="1:34" ht="12" thickBot="1">
      <c r="A46" s="23"/>
      <c r="B46" s="23"/>
      <c r="C46" s="23">
        <v>37</v>
      </c>
      <c r="D46" s="36">
        <f t="shared" si="0"/>
        <v>504.74250000000001</v>
      </c>
      <c r="E46" s="36">
        <f t="shared" si="1"/>
        <v>35.728400000000001</v>
      </c>
      <c r="F46" s="36">
        <f t="shared" si="2"/>
        <v>504.74250000000001</v>
      </c>
      <c r="G46" s="36">
        <f t="shared" si="3"/>
        <v>36.587400000000002</v>
      </c>
      <c r="H46" s="36">
        <f t="shared" si="4"/>
        <v>463.005</v>
      </c>
      <c r="I46" s="36">
        <f t="shared" si="5"/>
        <v>35.005099999999999</v>
      </c>
      <c r="J46" s="36">
        <f t="shared" si="6"/>
        <v>463.005</v>
      </c>
      <c r="K46" s="37">
        <f t="shared" si="7"/>
        <v>35.654000000000003</v>
      </c>
      <c r="L46" s="26">
        <v>2698.1448</v>
      </c>
      <c r="M46" s="26">
        <v>32.2851</v>
      </c>
      <c r="N46" s="26">
        <v>35.7866</v>
      </c>
      <c r="O46" s="26">
        <v>37.564100000000003</v>
      </c>
      <c r="P46" s="27">
        <v>504.74250000000001</v>
      </c>
      <c r="Q46" s="27">
        <v>29.007400000000001</v>
      </c>
      <c r="R46" s="27">
        <v>35.728400000000001</v>
      </c>
      <c r="S46" s="27">
        <v>36.587400000000002</v>
      </c>
      <c r="T46" s="27">
        <v>135.10900000000001</v>
      </c>
      <c r="U46" s="28"/>
      <c r="V46" s="26">
        <f t="shared" si="8"/>
        <v>3.753027777777778E-2</v>
      </c>
      <c r="W46" s="21" t="str">
        <f t="shared" si="9"/>
        <v>!</v>
      </c>
      <c r="X46" s="27">
        <v>463.005</v>
      </c>
      <c r="Y46" s="27">
        <v>28.778500000000001</v>
      </c>
      <c r="Z46" s="27">
        <v>35.005099999999999</v>
      </c>
      <c r="AA46" s="27">
        <v>35.654000000000003</v>
      </c>
      <c r="AB46" s="27">
        <v>7.6719999999999997</v>
      </c>
      <c r="AC46" s="27"/>
      <c r="AD46" s="26">
        <f t="shared" si="10"/>
        <v>2.131111111111111E-3</v>
      </c>
      <c r="AE46" s="23"/>
      <c r="AF46" s="23"/>
      <c r="AG46" s="23"/>
      <c r="AH46" s="19">
        <f t="shared" si="12"/>
        <v>5.6783781983435588E-2</v>
      </c>
    </row>
    <row r="47" spans="1:34" ht="12" thickBot="1">
      <c r="A47" s="12" t="s">
        <v>43</v>
      </c>
      <c r="B47" s="12" t="s">
        <v>44</v>
      </c>
      <c r="C47" s="12">
        <v>22</v>
      </c>
      <c r="D47" s="32">
        <f t="shared" si="0"/>
        <v>768.63750000000005</v>
      </c>
      <c r="E47" s="32">
        <f t="shared" si="1"/>
        <v>44.883200000000002</v>
      </c>
      <c r="F47" s="32">
        <f t="shared" si="2"/>
        <v>768.63750000000005</v>
      </c>
      <c r="G47" s="32">
        <f t="shared" si="3"/>
        <v>44.387</v>
      </c>
      <c r="H47" s="32">
        <f t="shared" si="4"/>
        <v>732.28750000000002</v>
      </c>
      <c r="I47" s="32">
        <f t="shared" si="5"/>
        <v>44.822000000000003</v>
      </c>
      <c r="J47" s="32">
        <f t="shared" si="6"/>
        <v>732.28750000000002</v>
      </c>
      <c r="K47" s="33">
        <f t="shared" si="7"/>
        <v>44.215499999999999</v>
      </c>
      <c r="L47" s="15">
        <v>5553.8248000000003</v>
      </c>
      <c r="M47" s="15">
        <v>43.088000000000001</v>
      </c>
      <c r="N47" s="15">
        <v>45.012300000000003</v>
      </c>
      <c r="O47" s="15">
        <v>44.783900000000003</v>
      </c>
      <c r="P47" s="29">
        <v>768.63750000000005</v>
      </c>
      <c r="Q47" s="29">
        <v>41.764499999999998</v>
      </c>
      <c r="R47" s="29">
        <v>44.883200000000002</v>
      </c>
      <c r="S47" s="29">
        <v>44.387</v>
      </c>
      <c r="T47" s="29">
        <v>29.405999999999999</v>
      </c>
      <c r="U47" s="17"/>
      <c r="V47" s="15">
        <f t="shared" si="8"/>
        <v>8.168333333333333E-3</v>
      </c>
      <c r="W47" s="21" t="str">
        <f t="shared" si="9"/>
        <v>!</v>
      </c>
      <c r="X47" s="29">
        <v>732.28750000000002</v>
      </c>
      <c r="Y47" s="29">
        <v>41.6297</v>
      </c>
      <c r="Z47" s="29">
        <v>44.822000000000003</v>
      </c>
      <c r="AA47" s="29">
        <v>44.215499999999999</v>
      </c>
      <c r="AB47" s="29">
        <v>2.5939999999999999</v>
      </c>
      <c r="AC47" s="29"/>
      <c r="AD47" s="15">
        <f t="shared" si="10"/>
        <v>7.2055555555555555E-4</v>
      </c>
      <c r="AE47" s="19">
        <f>RBJM($P47:$Q50,X47:Y50)</f>
        <v>-3.1229411206630142</v>
      </c>
      <c r="AF47" s="19">
        <f>RBJM($D47:$E50,H47:I50)</f>
        <v>1.7976897162249594</v>
      </c>
      <c r="AG47" s="19">
        <f>RBJM($F47:$G50,J47:K50)</f>
        <v>8.5487967363513828</v>
      </c>
      <c r="AH47" s="19">
        <f t="shared" si="12"/>
        <v>8.8213289804801739E-2</v>
      </c>
    </row>
    <row r="48" spans="1:34" ht="12" thickBot="1">
      <c r="A48" s="20" t="s">
        <v>45</v>
      </c>
      <c r="B48" s="20" t="s">
        <v>46</v>
      </c>
      <c r="C48" s="20">
        <v>27</v>
      </c>
      <c r="D48" s="34">
        <f t="shared" si="0"/>
        <v>381.97500000000002</v>
      </c>
      <c r="E48" s="34">
        <f t="shared" si="1"/>
        <v>42.216200000000001</v>
      </c>
      <c r="F48" s="34">
        <f t="shared" si="2"/>
        <v>381.97500000000002</v>
      </c>
      <c r="G48" s="34">
        <f t="shared" si="3"/>
        <v>41.467500000000001</v>
      </c>
      <c r="H48" s="34">
        <f t="shared" si="4"/>
        <v>357.75</v>
      </c>
      <c r="I48" s="34">
        <f t="shared" si="5"/>
        <v>41.883000000000003</v>
      </c>
      <c r="J48" s="34">
        <f t="shared" si="6"/>
        <v>357.75</v>
      </c>
      <c r="K48" s="35">
        <f t="shared" si="7"/>
        <v>40.923099999999998</v>
      </c>
      <c r="L48" s="18">
        <v>3324.4472000000001</v>
      </c>
      <c r="M48" s="18">
        <v>39.442</v>
      </c>
      <c r="N48" s="18">
        <v>41.993200000000002</v>
      </c>
      <c r="O48" s="18">
        <v>41.495800000000003</v>
      </c>
      <c r="P48" s="16">
        <v>381.97500000000002</v>
      </c>
      <c r="Q48" s="16">
        <v>38.077300000000001</v>
      </c>
      <c r="R48" s="16">
        <v>42.216200000000001</v>
      </c>
      <c r="S48" s="16">
        <v>41.467500000000001</v>
      </c>
      <c r="T48" s="16">
        <v>24.469000000000001</v>
      </c>
      <c r="U48" s="17"/>
      <c r="V48" s="18">
        <f t="shared" si="8"/>
        <v>6.7969444444444449E-3</v>
      </c>
      <c r="W48" s="21" t="str">
        <f t="shared" si="9"/>
        <v>!</v>
      </c>
      <c r="X48" s="16">
        <v>357.75</v>
      </c>
      <c r="Y48" s="16">
        <v>37.872399999999999</v>
      </c>
      <c r="Z48" s="16">
        <v>41.883000000000003</v>
      </c>
      <c r="AA48" s="16">
        <v>40.923099999999998</v>
      </c>
      <c r="AB48" s="16">
        <v>1.7969999999999999</v>
      </c>
      <c r="AC48" s="16"/>
      <c r="AD48" s="18">
        <f t="shared" si="10"/>
        <v>4.9916666666666664E-4</v>
      </c>
      <c r="AE48" s="22"/>
      <c r="AF48" s="22"/>
      <c r="AG48" s="22"/>
      <c r="AH48" s="19">
        <f t="shared" si="12"/>
        <v>7.3439862683395307E-2</v>
      </c>
    </row>
    <row r="49" spans="1:34" ht="12" thickBot="1">
      <c r="A49" s="20"/>
      <c r="B49" s="20"/>
      <c r="C49" s="20">
        <v>32</v>
      </c>
      <c r="D49" s="34">
        <f t="shared" si="0"/>
        <v>198.58750000000001</v>
      </c>
      <c r="E49" s="34">
        <f t="shared" si="1"/>
        <v>39.745399999999997</v>
      </c>
      <c r="F49" s="34">
        <f t="shared" si="2"/>
        <v>198.58750000000001</v>
      </c>
      <c r="G49" s="34">
        <f t="shared" si="3"/>
        <v>39.106699999999996</v>
      </c>
      <c r="H49" s="34">
        <f t="shared" si="4"/>
        <v>179.7</v>
      </c>
      <c r="I49" s="34">
        <f t="shared" si="5"/>
        <v>39.320300000000003</v>
      </c>
      <c r="J49" s="34">
        <f t="shared" si="6"/>
        <v>179.7</v>
      </c>
      <c r="K49" s="35">
        <f t="shared" si="7"/>
        <v>38.296900000000001</v>
      </c>
      <c r="L49" s="18">
        <v>1901.104</v>
      </c>
      <c r="M49" s="18">
        <v>36.066800000000001</v>
      </c>
      <c r="N49" s="18">
        <v>39.441600000000001</v>
      </c>
      <c r="O49" s="18">
        <v>38.793399999999998</v>
      </c>
      <c r="P49" s="16">
        <v>198.58750000000001</v>
      </c>
      <c r="Q49" s="16">
        <v>34.790300000000002</v>
      </c>
      <c r="R49" s="16">
        <v>39.745399999999997</v>
      </c>
      <c r="S49" s="16">
        <v>39.106699999999996</v>
      </c>
      <c r="T49" s="16">
        <v>21.797000000000001</v>
      </c>
      <c r="U49" s="17"/>
      <c r="V49" s="18">
        <f t="shared" si="8"/>
        <v>6.0547222222222226E-3</v>
      </c>
      <c r="W49" s="21" t="str">
        <f t="shared" si="9"/>
        <v>!</v>
      </c>
      <c r="X49" s="16">
        <v>179.7</v>
      </c>
      <c r="Y49" s="16">
        <v>34.489800000000002</v>
      </c>
      <c r="Z49" s="16">
        <v>39.320300000000003</v>
      </c>
      <c r="AA49" s="16">
        <v>38.296900000000001</v>
      </c>
      <c r="AB49" s="16">
        <v>1.2809999999999999</v>
      </c>
      <c r="AC49" s="16"/>
      <c r="AD49" s="18">
        <f t="shared" si="10"/>
        <v>3.5583333333333333E-4</v>
      </c>
      <c r="AE49" s="22"/>
      <c r="AF49" s="22"/>
      <c r="AG49" s="22"/>
      <c r="AH49" s="19">
        <f t="shared" si="12"/>
        <v>5.8769555443409636E-2</v>
      </c>
    </row>
    <row r="50" spans="1:34" ht="12" thickBot="1">
      <c r="A50" s="20"/>
      <c r="B50" s="23"/>
      <c r="C50" s="23">
        <v>37</v>
      </c>
      <c r="D50" s="36">
        <f t="shared" si="0"/>
        <v>104.83750000000001</v>
      </c>
      <c r="E50" s="36">
        <f t="shared" si="1"/>
        <v>37.937100000000001</v>
      </c>
      <c r="F50" s="36">
        <f t="shared" si="2"/>
        <v>104.83750000000001</v>
      </c>
      <c r="G50" s="36">
        <f t="shared" si="3"/>
        <v>37.191800000000001</v>
      </c>
      <c r="H50" s="36">
        <f t="shared" si="4"/>
        <v>94.037499999999994</v>
      </c>
      <c r="I50" s="36">
        <f t="shared" si="5"/>
        <v>37.499299999999998</v>
      </c>
      <c r="J50" s="36">
        <f t="shared" si="6"/>
        <v>94.037499999999994</v>
      </c>
      <c r="K50" s="37">
        <f t="shared" si="7"/>
        <v>36.475999999999999</v>
      </c>
      <c r="L50" s="26">
        <v>1035.2256</v>
      </c>
      <c r="M50" s="26">
        <v>32.910800000000002</v>
      </c>
      <c r="N50" s="26">
        <v>37.173299999999998</v>
      </c>
      <c r="O50" s="26">
        <v>36.237900000000003</v>
      </c>
      <c r="P50" s="27">
        <v>104.83750000000001</v>
      </c>
      <c r="Q50" s="27">
        <v>31.7879</v>
      </c>
      <c r="R50" s="27">
        <v>37.937100000000001</v>
      </c>
      <c r="S50" s="27">
        <v>37.191800000000001</v>
      </c>
      <c r="T50" s="27">
        <v>19.797000000000001</v>
      </c>
      <c r="U50" s="28"/>
      <c r="V50" s="26">
        <f t="shared" si="8"/>
        <v>5.499166666666667E-3</v>
      </c>
      <c r="W50" s="21" t="str">
        <f t="shared" si="9"/>
        <v>!</v>
      </c>
      <c r="X50" s="27">
        <v>94.037499999999994</v>
      </c>
      <c r="Y50" s="27">
        <v>31.5274</v>
      </c>
      <c r="Z50" s="27">
        <v>37.499299999999998</v>
      </c>
      <c r="AA50" s="27">
        <v>36.475999999999999</v>
      </c>
      <c r="AB50" s="27">
        <v>0.95299999999999996</v>
      </c>
      <c r="AC50" s="27"/>
      <c r="AD50" s="26">
        <f t="shared" si="10"/>
        <v>2.6472222222222224E-4</v>
      </c>
      <c r="AE50" s="23"/>
      <c r="AF50" s="23"/>
      <c r="AG50" s="23"/>
      <c r="AH50" s="19">
        <f t="shared" si="12"/>
        <v>4.8138606859625191E-2</v>
      </c>
    </row>
    <row r="51" spans="1:34" ht="12" thickBot="1">
      <c r="A51" s="20"/>
      <c r="B51" s="12" t="s">
        <v>47</v>
      </c>
      <c r="C51" s="12">
        <v>22</v>
      </c>
      <c r="D51" s="30">
        <f t="shared" si="0"/>
        <v>1696.7750000000001</v>
      </c>
      <c r="E51" s="30">
        <f t="shared" si="1"/>
        <v>41.155299999999997</v>
      </c>
      <c r="F51" s="30">
        <f t="shared" si="2"/>
        <v>1696.7750000000001</v>
      </c>
      <c r="G51" s="30">
        <f t="shared" si="3"/>
        <v>43.056800000000003</v>
      </c>
      <c r="H51" s="30">
        <f t="shared" si="4"/>
        <v>1641.45</v>
      </c>
      <c r="I51" s="30">
        <f t="shared" si="5"/>
        <v>40.978099999999998</v>
      </c>
      <c r="J51" s="30">
        <f t="shared" si="6"/>
        <v>1641.45</v>
      </c>
      <c r="K51" s="31">
        <f t="shared" si="7"/>
        <v>42.893500000000003</v>
      </c>
      <c r="L51" s="15">
        <v>13737.6728</v>
      </c>
      <c r="M51" s="15">
        <v>41.3386</v>
      </c>
      <c r="N51" s="15">
        <v>43.279299999999999</v>
      </c>
      <c r="O51" s="15">
        <v>44.167299999999997</v>
      </c>
      <c r="P51" s="29">
        <v>1696.7750000000001</v>
      </c>
      <c r="Q51" s="29">
        <v>38.146599999999999</v>
      </c>
      <c r="R51" s="29">
        <v>41.155299999999997</v>
      </c>
      <c r="S51" s="29">
        <v>43.056800000000003</v>
      </c>
      <c r="T51" s="29">
        <v>46.188000000000002</v>
      </c>
      <c r="U51" s="17"/>
      <c r="V51" s="15">
        <f t="shared" si="8"/>
        <v>1.2830000000000001E-2</v>
      </c>
      <c r="W51" s="21" t="str">
        <f t="shared" si="9"/>
        <v>!</v>
      </c>
      <c r="X51" s="29">
        <v>1641.45</v>
      </c>
      <c r="Y51" s="29">
        <v>38.0107</v>
      </c>
      <c r="Z51" s="29">
        <v>40.978099999999998</v>
      </c>
      <c r="AA51" s="29">
        <v>42.893500000000003</v>
      </c>
      <c r="AB51" s="29">
        <v>5</v>
      </c>
      <c r="AC51" s="29"/>
      <c r="AD51" s="15">
        <f t="shared" si="10"/>
        <v>1.3888888888888889E-3</v>
      </c>
      <c r="AE51" s="19">
        <f>RBJM($P51:$Q54,X51:Y54)</f>
        <v>-1.0066502183364689</v>
      </c>
      <c r="AF51" s="19">
        <f>RBJM($D51:$E54,H51:I54)</f>
        <v>14.34638966597519</v>
      </c>
      <c r="AG51" s="19">
        <f>RBJM($F51:$G54,J51:K54)</f>
        <v>10.605949346340559</v>
      </c>
      <c r="AH51" s="19">
        <f t="shared" si="12"/>
        <v>0.10825322594613319</v>
      </c>
    </row>
    <row r="52" spans="1:34" ht="12" thickBot="1">
      <c r="A52" s="20"/>
      <c r="B52" s="20" t="s">
        <v>48</v>
      </c>
      <c r="C52" s="20">
        <v>27</v>
      </c>
      <c r="D52" s="13">
        <f t="shared" si="0"/>
        <v>738.98749999999995</v>
      </c>
      <c r="E52" s="13">
        <f t="shared" si="1"/>
        <v>38.8142</v>
      </c>
      <c r="F52" s="13">
        <f t="shared" si="2"/>
        <v>738.98749999999995</v>
      </c>
      <c r="G52" s="13">
        <f t="shared" si="3"/>
        <v>40.65</v>
      </c>
      <c r="H52" s="13">
        <f t="shared" si="4"/>
        <v>712.85</v>
      </c>
      <c r="I52" s="13">
        <f t="shared" si="5"/>
        <v>38.328699999999998</v>
      </c>
      <c r="J52" s="13">
        <f t="shared" si="6"/>
        <v>712.85</v>
      </c>
      <c r="K52" s="14">
        <f t="shared" si="7"/>
        <v>40.243699999999997</v>
      </c>
      <c r="L52" s="18">
        <v>8697.9943999999996</v>
      </c>
      <c r="M52" s="18">
        <v>36.855800000000002</v>
      </c>
      <c r="N52" s="18">
        <v>40.7029</v>
      </c>
      <c r="O52" s="18">
        <v>41.707099999999997</v>
      </c>
      <c r="P52" s="16">
        <v>738.98749999999995</v>
      </c>
      <c r="Q52" s="16">
        <v>34.742100000000001</v>
      </c>
      <c r="R52" s="16">
        <v>38.8142</v>
      </c>
      <c r="S52" s="16">
        <v>40.65</v>
      </c>
      <c r="T52" s="16">
        <v>33.688000000000002</v>
      </c>
      <c r="U52" s="17"/>
      <c r="V52" s="18">
        <f t="shared" si="8"/>
        <v>9.3577777777777791E-3</v>
      </c>
      <c r="W52" s="21" t="str">
        <f t="shared" si="9"/>
        <v>!</v>
      </c>
      <c r="X52" s="16">
        <v>712.85</v>
      </c>
      <c r="Y52" s="16">
        <v>34.606900000000003</v>
      </c>
      <c r="Z52" s="16">
        <v>38.328699999999998</v>
      </c>
      <c r="AA52" s="16">
        <v>40.243699999999997</v>
      </c>
      <c r="AB52" s="16">
        <v>3.2029999999999998</v>
      </c>
      <c r="AC52" s="16"/>
      <c r="AD52" s="18">
        <f t="shared" si="10"/>
        <v>8.8972222222222219E-4</v>
      </c>
      <c r="AE52" s="22"/>
      <c r="AF52" s="22"/>
      <c r="AG52" s="22"/>
      <c r="AH52" s="19">
        <f t="shared" si="12"/>
        <v>9.5078366183804316E-2</v>
      </c>
    </row>
    <row r="53" spans="1:34" ht="12" thickBot="1">
      <c r="A53" s="20"/>
      <c r="B53" s="20"/>
      <c r="C53" s="20">
        <v>32</v>
      </c>
      <c r="D53" s="13">
        <f t="shared" si="0"/>
        <v>350.5625</v>
      </c>
      <c r="E53" s="13">
        <f t="shared" si="1"/>
        <v>36.801200000000001</v>
      </c>
      <c r="F53" s="13">
        <f t="shared" si="2"/>
        <v>350.5625</v>
      </c>
      <c r="G53" s="13">
        <f t="shared" si="3"/>
        <v>38.487900000000003</v>
      </c>
      <c r="H53" s="13">
        <f t="shared" si="4"/>
        <v>323.16250000000002</v>
      </c>
      <c r="I53" s="13">
        <f t="shared" si="5"/>
        <v>36.186999999999998</v>
      </c>
      <c r="J53" s="13">
        <f t="shared" si="6"/>
        <v>323.16250000000002</v>
      </c>
      <c r="K53" s="14">
        <f t="shared" si="7"/>
        <v>37.969499999999996</v>
      </c>
      <c r="L53" s="18">
        <v>5363.6239999999998</v>
      </c>
      <c r="M53" s="18">
        <v>33.090200000000003</v>
      </c>
      <c r="N53" s="18">
        <v>39.058599999999998</v>
      </c>
      <c r="O53" s="18">
        <v>39.930199999999999</v>
      </c>
      <c r="P53" s="16">
        <v>350.5625</v>
      </c>
      <c r="Q53" s="16">
        <v>31.851500000000001</v>
      </c>
      <c r="R53" s="16">
        <v>36.801200000000001</v>
      </c>
      <c r="S53" s="16">
        <v>38.487900000000003</v>
      </c>
      <c r="T53" s="16">
        <v>27.422000000000001</v>
      </c>
      <c r="U53" s="17"/>
      <c r="V53" s="18">
        <f t="shared" si="8"/>
        <v>7.6172222222222223E-3</v>
      </c>
      <c r="W53" s="21" t="str">
        <f t="shared" si="9"/>
        <v>!</v>
      </c>
      <c r="X53" s="16">
        <v>323.16250000000002</v>
      </c>
      <c r="Y53" s="16">
        <v>31.6311</v>
      </c>
      <c r="Z53" s="16">
        <v>36.186999999999998</v>
      </c>
      <c r="AA53" s="16">
        <v>37.969499999999996</v>
      </c>
      <c r="AB53" s="16">
        <v>2.141</v>
      </c>
      <c r="AC53" s="16"/>
      <c r="AD53" s="18">
        <f t="shared" si="10"/>
        <v>5.9472222222222218E-4</v>
      </c>
      <c r="AE53" s="22"/>
      <c r="AF53" s="22"/>
      <c r="AG53" s="22"/>
      <c r="AH53" s="19">
        <f t="shared" si="12"/>
        <v>7.8075997374370945E-2</v>
      </c>
    </row>
    <row r="54" spans="1:34" ht="12" thickBot="1">
      <c r="A54" s="20"/>
      <c r="B54" s="23"/>
      <c r="C54" s="23">
        <v>37</v>
      </c>
      <c r="D54" s="24">
        <f t="shared" si="0"/>
        <v>165.8</v>
      </c>
      <c r="E54" s="24">
        <f t="shared" si="1"/>
        <v>35.062399999999997</v>
      </c>
      <c r="F54" s="24">
        <f t="shared" si="2"/>
        <v>165.8</v>
      </c>
      <c r="G54" s="24">
        <f t="shared" si="3"/>
        <v>36.771000000000001</v>
      </c>
      <c r="H54" s="24">
        <f t="shared" si="4"/>
        <v>153.1875</v>
      </c>
      <c r="I54" s="24">
        <f t="shared" si="5"/>
        <v>34.3947</v>
      </c>
      <c r="J54" s="24">
        <f t="shared" si="6"/>
        <v>153.1875</v>
      </c>
      <c r="K54" s="25">
        <f t="shared" si="7"/>
        <v>36.191000000000003</v>
      </c>
      <c r="L54" s="26">
        <v>3153.3847999999998</v>
      </c>
      <c r="M54" s="26">
        <v>29.5319</v>
      </c>
      <c r="N54" s="26">
        <v>37.829500000000003</v>
      </c>
      <c r="O54" s="26">
        <v>38.229999999999997</v>
      </c>
      <c r="P54" s="27">
        <v>165.8</v>
      </c>
      <c r="Q54" s="27">
        <v>29.2258</v>
      </c>
      <c r="R54" s="27">
        <v>35.062399999999997</v>
      </c>
      <c r="S54" s="27">
        <v>36.771000000000001</v>
      </c>
      <c r="T54" s="27">
        <v>23.234000000000002</v>
      </c>
      <c r="U54" s="28"/>
      <c r="V54" s="26">
        <f t="shared" si="8"/>
        <v>6.4538888888888892E-3</v>
      </c>
      <c r="W54" s="21" t="str">
        <f t="shared" si="9"/>
        <v>!</v>
      </c>
      <c r="X54" s="27">
        <v>153.1875</v>
      </c>
      <c r="Y54" s="27">
        <v>29.047499999999999</v>
      </c>
      <c r="Z54" s="27">
        <v>34.3947</v>
      </c>
      <c r="AA54" s="27">
        <v>36.191000000000003</v>
      </c>
      <c r="AB54" s="27">
        <v>1.4379999999999999</v>
      </c>
      <c r="AC54" s="27"/>
      <c r="AD54" s="26">
        <f t="shared" si="10"/>
        <v>3.9944444444444446E-4</v>
      </c>
      <c r="AE54" s="23"/>
      <c r="AF54" s="23"/>
      <c r="AG54" s="23"/>
      <c r="AH54" s="19">
        <f t="shared" si="12"/>
        <v>6.1892054747353008E-2</v>
      </c>
    </row>
    <row r="55" spans="1:34" ht="12" thickBot="1">
      <c r="A55" s="20"/>
      <c r="B55" s="12" t="s">
        <v>49</v>
      </c>
      <c r="C55" s="12">
        <v>22</v>
      </c>
      <c r="D55" s="32">
        <f t="shared" si="0"/>
        <v>1563.45</v>
      </c>
      <c r="E55" s="32">
        <f t="shared" si="1"/>
        <v>44.0732</v>
      </c>
      <c r="F55" s="32">
        <f t="shared" si="2"/>
        <v>1563.45</v>
      </c>
      <c r="G55" s="32">
        <f t="shared" si="3"/>
        <v>44.83</v>
      </c>
      <c r="H55" s="32">
        <f t="shared" si="4"/>
        <v>1475.355</v>
      </c>
      <c r="I55" s="32">
        <f t="shared" si="5"/>
        <v>44.289299999999997</v>
      </c>
      <c r="J55" s="32">
        <f t="shared" si="6"/>
        <v>1475.355</v>
      </c>
      <c r="K55" s="33">
        <f t="shared" si="7"/>
        <v>45.050800000000002</v>
      </c>
      <c r="L55" s="15">
        <v>11975.7464</v>
      </c>
      <c r="M55" s="15">
        <v>41.178100000000001</v>
      </c>
      <c r="N55" s="15">
        <v>42.177399999999999</v>
      </c>
      <c r="O55" s="15">
        <v>42.870100000000001</v>
      </c>
      <c r="P55" s="29">
        <v>1563.45</v>
      </c>
      <c r="Q55" s="29">
        <v>38.646700000000003</v>
      </c>
      <c r="R55" s="29">
        <v>44.0732</v>
      </c>
      <c r="S55" s="29">
        <v>44.83</v>
      </c>
      <c r="T55" s="29">
        <v>35.296999999999997</v>
      </c>
      <c r="U55" s="17"/>
      <c r="V55" s="15">
        <f t="shared" si="8"/>
        <v>9.8047222222222216E-3</v>
      </c>
      <c r="W55" s="21" t="str">
        <f t="shared" si="9"/>
        <v>!</v>
      </c>
      <c r="X55" s="29">
        <v>1475.355</v>
      </c>
      <c r="Y55" s="29">
        <v>38.387700000000002</v>
      </c>
      <c r="Z55" s="29">
        <v>44.289299999999997</v>
      </c>
      <c r="AA55" s="29">
        <v>45.050800000000002</v>
      </c>
      <c r="AB55" s="29">
        <v>3.4060000000000001</v>
      </c>
      <c r="AC55" s="29"/>
      <c r="AD55" s="15">
        <f t="shared" si="10"/>
        <v>9.4611111111111111E-4</v>
      </c>
      <c r="AE55" s="19">
        <f>RBJM($P55:$Q58,X55:Y58)</f>
        <v>0.67600214037590867</v>
      </c>
      <c r="AF55" s="19">
        <f>RBJM($D55:$E58,H55:I58)</f>
        <v>1.9682430072492707</v>
      </c>
      <c r="AG55" s="19">
        <f>RBJM($F55:$G58,J55:K58)</f>
        <v>-0.90008339478141464</v>
      </c>
      <c r="AH55" s="19">
        <f t="shared" si="12"/>
        <v>9.649545287134885E-2</v>
      </c>
    </row>
    <row r="56" spans="1:34" ht="12" thickBot="1">
      <c r="A56" s="20"/>
      <c r="B56" s="20" t="s">
        <v>50</v>
      </c>
      <c r="C56" s="20">
        <v>27</v>
      </c>
      <c r="D56" s="34">
        <f t="shared" si="0"/>
        <v>698.25</v>
      </c>
      <c r="E56" s="34">
        <f t="shared" si="1"/>
        <v>41.908700000000003</v>
      </c>
      <c r="F56" s="34">
        <f t="shared" si="2"/>
        <v>698.25</v>
      </c>
      <c r="G56" s="34">
        <f t="shared" si="3"/>
        <v>42.507199999999997</v>
      </c>
      <c r="H56" s="34">
        <f t="shared" si="4"/>
        <v>678.93</v>
      </c>
      <c r="I56" s="34">
        <f t="shared" si="5"/>
        <v>41.671999999999997</v>
      </c>
      <c r="J56" s="34">
        <f t="shared" si="6"/>
        <v>678.93</v>
      </c>
      <c r="K56" s="35">
        <f t="shared" si="7"/>
        <v>42.485300000000002</v>
      </c>
      <c r="L56" s="18">
        <v>7372.7248</v>
      </c>
      <c r="M56" s="18">
        <v>36.759399999999999</v>
      </c>
      <c r="N56" s="18">
        <v>39.021599999999999</v>
      </c>
      <c r="O56" s="18">
        <v>39.531199999999998</v>
      </c>
      <c r="P56" s="16">
        <v>698.25</v>
      </c>
      <c r="Q56" s="16">
        <v>35.020899999999997</v>
      </c>
      <c r="R56" s="16">
        <v>41.908700000000003</v>
      </c>
      <c r="S56" s="16">
        <v>42.507199999999997</v>
      </c>
      <c r="T56" s="16">
        <v>25.562000000000001</v>
      </c>
      <c r="U56" s="17"/>
      <c r="V56" s="18">
        <f t="shared" si="8"/>
        <v>7.1005555555555561E-3</v>
      </c>
      <c r="W56" s="21" t="str">
        <f t="shared" si="9"/>
        <v>!</v>
      </c>
      <c r="X56" s="16">
        <v>678.93</v>
      </c>
      <c r="Y56" s="16">
        <v>34.859400000000001</v>
      </c>
      <c r="Z56" s="16">
        <v>41.671999999999997</v>
      </c>
      <c r="AA56" s="16">
        <v>42.485300000000002</v>
      </c>
      <c r="AB56" s="16">
        <v>2.234</v>
      </c>
      <c r="AC56" s="16"/>
      <c r="AD56" s="18">
        <f t="shared" si="10"/>
        <v>6.2055555555555551E-4</v>
      </c>
      <c r="AE56" s="22"/>
      <c r="AF56" s="22"/>
      <c r="AG56" s="22"/>
      <c r="AH56" s="19">
        <f t="shared" si="12"/>
        <v>8.7395352476332053E-2</v>
      </c>
    </row>
    <row r="57" spans="1:34" ht="12" thickBot="1">
      <c r="A57" s="20"/>
      <c r="B57" s="20"/>
      <c r="C57" s="20">
        <v>32</v>
      </c>
      <c r="D57" s="34">
        <f t="shared" si="0"/>
        <v>355.02</v>
      </c>
      <c r="E57" s="34">
        <f t="shared" si="1"/>
        <v>39.866599999999998</v>
      </c>
      <c r="F57" s="34">
        <f t="shared" si="2"/>
        <v>355.02</v>
      </c>
      <c r="G57" s="34">
        <f t="shared" si="3"/>
        <v>40.569600000000001</v>
      </c>
      <c r="H57" s="34">
        <f t="shared" si="4"/>
        <v>336.48</v>
      </c>
      <c r="I57" s="34">
        <f t="shared" si="5"/>
        <v>39.556800000000003</v>
      </c>
      <c r="J57" s="34">
        <f t="shared" si="6"/>
        <v>336.48</v>
      </c>
      <c r="K57" s="35">
        <f t="shared" si="7"/>
        <v>40.2911</v>
      </c>
      <c r="L57" s="18">
        <v>4188.2056000000002</v>
      </c>
      <c r="M57" s="18">
        <v>32.823900000000002</v>
      </c>
      <c r="N57" s="18">
        <v>36.556399999999996</v>
      </c>
      <c r="O57" s="18">
        <v>37.008600000000001</v>
      </c>
      <c r="P57" s="16">
        <v>355.02</v>
      </c>
      <c r="Q57" s="16">
        <v>31.8901</v>
      </c>
      <c r="R57" s="16">
        <v>39.866599999999998</v>
      </c>
      <c r="S57" s="16">
        <v>40.569600000000001</v>
      </c>
      <c r="T57" s="16">
        <v>21.344000000000001</v>
      </c>
      <c r="U57" s="17"/>
      <c r="V57" s="18">
        <f t="shared" si="8"/>
        <v>5.9288888888888889E-3</v>
      </c>
      <c r="W57" s="21" t="str">
        <f t="shared" si="9"/>
        <v>!</v>
      </c>
      <c r="X57" s="16">
        <v>336.48</v>
      </c>
      <c r="Y57" s="16">
        <v>31.6143</v>
      </c>
      <c r="Z57" s="16">
        <v>39.556800000000003</v>
      </c>
      <c r="AA57" s="16">
        <v>40.2911</v>
      </c>
      <c r="AB57" s="16">
        <v>1.5</v>
      </c>
      <c r="AC57" s="16"/>
      <c r="AD57" s="18">
        <f t="shared" si="10"/>
        <v>4.1666666666666669E-4</v>
      </c>
      <c r="AE57" s="22"/>
      <c r="AF57" s="22"/>
      <c r="AG57" s="22"/>
      <c r="AH57" s="19">
        <f t="shared" si="12"/>
        <v>7.0277361319340328E-2</v>
      </c>
    </row>
    <row r="58" spans="1:34" ht="12" thickBot="1">
      <c r="A58" s="20"/>
      <c r="B58" s="23"/>
      <c r="C58" s="23">
        <v>37</v>
      </c>
      <c r="D58" s="36">
        <f t="shared" si="0"/>
        <v>203.34</v>
      </c>
      <c r="E58" s="36">
        <f t="shared" si="1"/>
        <v>38.548200000000001</v>
      </c>
      <c r="F58" s="36">
        <f t="shared" si="2"/>
        <v>203.34</v>
      </c>
      <c r="G58" s="36">
        <f t="shared" si="3"/>
        <v>39.052700000000002</v>
      </c>
      <c r="H58" s="36">
        <f t="shared" si="4"/>
        <v>195.18</v>
      </c>
      <c r="I58" s="36">
        <f t="shared" si="5"/>
        <v>38.467399999999998</v>
      </c>
      <c r="J58" s="36">
        <f t="shared" si="6"/>
        <v>195.18</v>
      </c>
      <c r="K58" s="37">
        <f t="shared" si="7"/>
        <v>38.720999999999997</v>
      </c>
      <c r="L58" s="26">
        <v>2115.0304000000001</v>
      </c>
      <c r="M58" s="26">
        <v>29.266200000000001</v>
      </c>
      <c r="N58" s="26">
        <v>34.390500000000003</v>
      </c>
      <c r="O58" s="26">
        <v>34.862299999999998</v>
      </c>
      <c r="P58" s="27">
        <v>203.34</v>
      </c>
      <c r="Q58" s="27">
        <v>29.209900000000001</v>
      </c>
      <c r="R58" s="27">
        <v>38.548200000000001</v>
      </c>
      <c r="S58" s="27">
        <v>39.052700000000002</v>
      </c>
      <c r="T58" s="27">
        <v>19.234000000000002</v>
      </c>
      <c r="U58" s="28"/>
      <c r="V58" s="26">
        <f t="shared" si="8"/>
        <v>5.3427777777777779E-3</v>
      </c>
      <c r="W58" s="21" t="str">
        <f t="shared" si="9"/>
        <v>!</v>
      </c>
      <c r="X58" s="27">
        <v>195.18</v>
      </c>
      <c r="Y58" s="27">
        <v>28.9072</v>
      </c>
      <c r="Z58" s="27">
        <v>38.467399999999998</v>
      </c>
      <c r="AA58" s="27">
        <v>38.720999999999997</v>
      </c>
      <c r="AB58" s="27">
        <v>1.125</v>
      </c>
      <c r="AC58" s="27"/>
      <c r="AD58" s="26">
        <f t="shared" si="10"/>
        <v>3.1250000000000001E-4</v>
      </c>
      <c r="AE58" s="23"/>
      <c r="AF58" s="23"/>
      <c r="AG58" s="23"/>
      <c r="AH58" s="19">
        <f t="shared" si="12"/>
        <v>5.8490173650826656E-2</v>
      </c>
    </row>
    <row r="59" spans="1:34" ht="12" thickBot="1">
      <c r="A59" s="20"/>
      <c r="B59" s="12" t="s">
        <v>51</v>
      </c>
      <c r="C59" s="12">
        <v>22</v>
      </c>
      <c r="D59" s="30">
        <f t="shared" si="0"/>
        <v>1389.8325</v>
      </c>
      <c r="E59" s="30">
        <f t="shared" si="1"/>
        <v>41.268300000000004</v>
      </c>
      <c r="F59" s="30">
        <f t="shared" si="2"/>
        <v>1389.8325</v>
      </c>
      <c r="G59" s="30">
        <f t="shared" si="3"/>
        <v>41.684199999999997</v>
      </c>
      <c r="H59" s="30">
        <f t="shared" si="4"/>
        <v>1388.6475</v>
      </c>
      <c r="I59" s="30">
        <f t="shared" si="5"/>
        <v>40.802999999999997</v>
      </c>
      <c r="J59" s="30">
        <f t="shared" si="6"/>
        <v>1388.6475</v>
      </c>
      <c r="K59" s="31">
        <f t="shared" si="7"/>
        <v>41.212200000000003</v>
      </c>
      <c r="L59" s="15">
        <v>4652.5663999999997</v>
      </c>
      <c r="M59" s="15">
        <v>42.672699999999999</v>
      </c>
      <c r="N59" s="15">
        <v>43.261600000000001</v>
      </c>
      <c r="O59" s="15">
        <v>44.022100000000002</v>
      </c>
      <c r="P59" s="29">
        <v>1389.8325</v>
      </c>
      <c r="Q59" s="29">
        <v>38.884799999999998</v>
      </c>
      <c r="R59" s="29">
        <v>41.268300000000004</v>
      </c>
      <c r="S59" s="29">
        <v>41.684199999999997</v>
      </c>
      <c r="T59" s="29">
        <v>61.280999999999999</v>
      </c>
      <c r="U59" s="17"/>
      <c r="V59" s="15">
        <f t="shared" si="8"/>
        <v>1.7022499999999999E-2</v>
      </c>
      <c r="W59" s="21" t="str">
        <f t="shared" si="9"/>
        <v>!</v>
      </c>
      <c r="X59" s="29">
        <v>1388.6475</v>
      </c>
      <c r="Y59" s="29">
        <v>38.619999999999997</v>
      </c>
      <c r="Z59" s="29">
        <v>40.802999999999997</v>
      </c>
      <c r="AA59" s="29">
        <v>41.212200000000003</v>
      </c>
      <c r="AB59" s="29">
        <v>6.5620000000000003</v>
      </c>
      <c r="AC59" s="29"/>
      <c r="AD59" s="15">
        <f t="shared" si="10"/>
        <v>1.8227777777777778E-3</v>
      </c>
      <c r="AE59" s="19">
        <f>RBJM($P59:$Q62,X59:Y62)</f>
        <v>1.9803412029255396</v>
      </c>
      <c r="AF59" s="19">
        <f>RBJM($D59:$E62,H59:I62)</f>
        <v>21.474973610156646</v>
      </c>
      <c r="AG59" s="19">
        <f>RBJM($F59:$G62,J59:K62)</f>
        <v>24.961797436324716</v>
      </c>
      <c r="AH59" s="19">
        <f t="shared" si="12"/>
        <v>0.10708049803364829</v>
      </c>
    </row>
    <row r="60" spans="1:34" ht="12" thickBot="1">
      <c r="A60" s="20"/>
      <c r="B60" s="20" t="s">
        <v>42</v>
      </c>
      <c r="C60" s="20">
        <v>27</v>
      </c>
      <c r="D60" s="13">
        <f t="shared" si="0"/>
        <v>668.36249999999995</v>
      </c>
      <c r="E60" s="13">
        <f t="shared" si="1"/>
        <v>38.610300000000002</v>
      </c>
      <c r="F60" s="13">
        <f t="shared" si="2"/>
        <v>668.36249999999995</v>
      </c>
      <c r="G60" s="13">
        <f t="shared" si="3"/>
        <v>38.997399999999999</v>
      </c>
      <c r="H60" s="13">
        <f t="shared" si="4"/>
        <v>656.4375</v>
      </c>
      <c r="I60" s="13">
        <f t="shared" si="5"/>
        <v>38.026699999999998</v>
      </c>
      <c r="J60" s="13">
        <f t="shared" si="6"/>
        <v>656.4375</v>
      </c>
      <c r="K60" s="14">
        <f t="shared" si="7"/>
        <v>38.238399999999999</v>
      </c>
      <c r="L60" s="18">
        <v>2822.5576000000001</v>
      </c>
      <c r="M60" s="18">
        <v>38.576799999999999</v>
      </c>
      <c r="N60" s="18">
        <v>39.889499999999998</v>
      </c>
      <c r="O60" s="18">
        <v>41.087800000000001</v>
      </c>
      <c r="P60" s="16">
        <v>668.36249999999995</v>
      </c>
      <c r="Q60" s="16">
        <v>34.774700000000003</v>
      </c>
      <c r="R60" s="16">
        <v>38.610300000000002</v>
      </c>
      <c r="S60" s="16">
        <v>38.997399999999999</v>
      </c>
      <c r="T60" s="16">
        <v>47.219000000000001</v>
      </c>
      <c r="U60" s="17"/>
      <c r="V60" s="18">
        <f t="shared" si="8"/>
        <v>1.3116388888888889E-2</v>
      </c>
      <c r="W60" s="21" t="str">
        <f t="shared" si="9"/>
        <v>!</v>
      </c>
      <c r="X60" s="16">
        <v>656.4375</v>
      </c>
      <c r="Y60" s="16">
        <v>34.521900000000002</v>
      </c>
      <c r="Z60" s="16">
        <v>38.026699999999998</v>
      </c>
      <c r="AA60" s="16">
        <v>38.238399999999999</v>
      </c>
      <c r="AB60" s="16">
        <v>4.5620000000000003</v>
      </c>
      <c r="AC60" s="16"/>
      <c r="AD60" s="18">
        <f t="shared" si="10"/>
        <v>1.2672222222222223E-3</v>
      </c>
      <c r="AE60" s="22"/>
      <c r="AF60" s="22"/>
      <c r="AG60" s="22"/>
      <c r="AH60" s="19">
        <f t="shared" si="12"/>
        <v>9.6613651284440591E-2</v>
      </c>
    </row>
    <row r="61" spans="1:34" ht="12" thickBot="1">
      <c r="A61" s="20"/>
      <c r="B61" s="20"/>
      <c r="C61" s="20">
        <v>32</v>
      </c>
      <c r="D61" s="13">
        <f t="shared" si="0"/>
        <v>336.9</v>
      </c>
      <c r="E61" s="13">
        <f t="shared" si="1"/>
        <v>36.706800000000001</v>
      </c>
      <c r="F61" s="13">
        <f t="shared" si="2"/>
        <v>336.9</v>
      </c>
      <c r="G61" s="13">
        <f t="shared" si="3"/>
        <v>36.895600000000002</v>
      </c>
      <c r="H61" s="13">
        <f t="shared" si="4"/>
        <v>311.25</v>
      </c>
      <c r="I61" s="13">
        <f t="shared" si="5"/>
        <v>35.741399999999999</v>
      </c>
      <c r="J61" s="13">
        <f t="shared" si="6"/>
        <v>311.25</v>
      </c>
      <c r="K61" s="14">
        <f t="shared" si="7"/>
        <v>35.813400000000001</v>
      </c>
      <c r="L61" s="18">
        <v>1560.1967999999999</v>
      </c>
      <c r="M61" s="18">
        <v>34.727699999999999</v>
      </c>
      <c r="N61" s="18">
        <v>37.406799999999997</v>
      </c>
      <c r="O61" s="18">
        <v>38.621000000000002</v>
      </c>
      <c r="P61" s="16">
        <v>336.9</v>
      </c>
      <c r="Q61" s="16">
        <v>31.400700000000001</v>
      </c>
      <c r="R61" s="16">
        <v>36.706800000000001</v>
      </c>
      <c r="S61" s="16">
        <v>36.895600000000002</v>
      </c>
      <c r="T61" s="16">
        <v>38.703000000000003</v>
      </c>
      <c r="U61" s="17"/>
      <c r="V61" s="18">
        <f t="shared" si="8"/>
        <v>1.0750833333333334E-2</v>
      </c>
      <c r="W61" s="21" t="str">
        <f t="shared" si="9"/>
        <v>!</v>
      </c>
      <c r="X61" s="16">
        <v>311.25</v>
      </c>
      <c r="Y61" s="16">
        <v>31.0228</v>
      </c>
      <c r="Z61" s="16">
        <v>35.741399999999999</v>
      </c>
      <c r="AA61" s="16">
        <v>35.813400000000001</v>
      </c>
      <c r="AB61" s="16">
        <v>3.125</v>
      </c>
      <c r="AC61" s="16"/>
      <c r="AD61" s="18">
        <f t="shared" si="10"/>
        <v>8.6805555555555551E-4</v>
      </c>
      <c r="AE61" s="22"/>
      <c r="AF61" s="22"/>
      <c r="AG61" s="22"/>
      <c r="AH61" s="19">
        <f t="shared" si="12"/>
        <v>8.0743094850528371E-2</v>
      </c>
    </row>
    <row r="62" spans="1:34" ht="12" thickBot="1">
      <c r="A62" s="23"/>
      <c r="B62" s="23"/>
      <c r="C62" s="23">
        <v>37</v>
      </c>
      <c r="D62" s="38">
        <f t="shared" si="0"/>
        <v>168.51</v>
      </c>
      <c r="E62" s="38">
        <f t="shared" si="1"/>
        <v>34.974800000000002</v>
      </c>
      <c r="F62" s="38">
        <f t="shared" si="2"/>
        <v>168.51</v>
      </c>
      <c r="G62" s="38">
        <f t="shared" si="3"/>
        <v>35.021999999999998</v>
      </c>
      <c r="H62" s="38">
        <f t="shared" si="4"/>
        <v>155.28</v>
      </c>
      <c r="I62" s="38">
        <f t="shared" si="5"/>
        <v>34.126300000000001</v>
      </c>
      <c r="J62" s="38">
        <f t="shared" si="6"/>
        <v>155.28</v>
      </c>
      <c r="K62" s="39">
        <f t="shared" si="7"/>
        <v>34.000999999999998</v>
      </c>
      <c r="L62" s="26">
        <v>768.26800000000003</v>
      </c>
      <c r="M62" s="26">
        <v>31.408999999999999</v>
      </c>
      <c r="N62" s="26">
        <v>35.030299999999997</v>
      </c>
      <c r="O62" s="26">
        <v>36.182299999999998</v>
      </c>
      <c r="P62" s="27">
        <v>168.51</v>
      </c>
      <c r="Q62" s="27">
        <v>28.47</v>
      </c>
      <c r="R62" s="27">
        <v>34.974800000000002</v>
      </c>
      <c r="S62" s="27">
        <v>35.021999999999998</v>
      </c>
      <c r="T62" s="27">
        <v>31.937999999999999</v>
      </c>
      <c r="U62" s="28"/>
      <c r="V62" s="26">
        <f t="shared" si="8"/>
        <v>8.8716666666666666E-3</v>
      </c>
      <c r="W62" s="21" t="str">
        <f t="shared" si="9"/>
        <v>!</v>
      </c>
      <c r="X62" s="27">
        <v>155.28</v>
      </c>
      <c r="Y62" s="27">
        <v>28.254300000000001</v>
      </c>
      <c r="Z62" s="27">
        <v>34.126300000000001</v>
      </c>
      <c r="AA62" s="27">
        <v>34.000999999999998</v>
      </c>
      <c r="AB62" s="27">
        <v>2.125</v>
      </c>
      <c r="AC62" s="27"/>
      <c r="AD62" s="26">
        <f t="shared" si="10"/>
        <v>5.9027777777777778E-4</v>
      </c>
      <c r="AE62" s="23"/>
      <c r="AF62" s="23"/>
      <c r="AG62" s="23"/>
      <c r="AH62" s="19">
        <f t="shared" si="12"/>
        <v>6.6535161876135007E-2</v>
      </c>
    </row>
    <row r="63" spans="1:34" ht="12" thickBot="1">
      <c r="A63" s="12" t="s">
        <v>75</v>
      </c>
      <c r="B63" s="12" t="s">
        <v>52</v>
      </c>
      <c r="C63" s="12">
        <v>22</v>
      </c>
      <c r="D63" s="32">
        <f t="shared" si="0"/>
        <v>2508.66</v>
      </c>
      <c r="E63" s="32">
        <f t="shared" si="1"/>
        <v>46.937100000000001</v>
      </c>
      <c r="F63" s="32">
        <f t="shared" si="2"/>
        <v>2508.66</v>
      </c>
      <c r="G63" s="32">
        <f t="shared" si="3"/>
        <v>48.303600000000003</v>
      </c>
      <c r="H63" s="32">
        <f t="shared" si="4"/>
        <v>2390.8200000000002</v>
      </c>
      <c r="I63" s="32">
        <f t="shared" si="5"/>
        <v>47.3232</v>
      </c>
      <c r="J63" s="32">
        <f t="shared" si="6"/>
        <v>2390.8200000000002</v>
      </c>
      <c r="K63" s="33">
        <f t="shared" si="7"/>
        <v>48.733499999999999</v>
      </c>
      <c r="L63" s="15">
        <v>21820.211200000002</v>
      </c>
      <c r="M63" s="15">
        <v>44.745399999999997</v>
      </c>
      <c r="N63" s="15">
        <v>47.310499999999998</v>
      </c>
      <c r="O63" s="15">
        <v>48.205399999999997</v>
      </c>
      <c r="P63" s="29">
        <v>2508.66</v>
      </c>
      <c r="Q63" s="29">
        <v>42.698099999999997</v>
      </c>
      <c r="R63" s="29">
        <v>46.937100000000001</v>
      </c>
      <c r="S63" s="29">
        <v>48.303600000000003</v>
      </c>
      <c r="T63" s="29">
        <v>204.422</v>
      </c>
      <c r="U63" s="17"/>
      <c r="V63" s="15">
        <f t="shared" si="8"/>
        <v>5.6783888888888891E-2</v>
      </c>
      <c r="W63" s="21" t="str">
        <f t="shared" si="9"/>
        <v>!</v>
      </c>
      <c r="X63" s="29">
        <v>2390.8200000000002</v>
      </c>
      <c r="Y63" s="29">
        <v>42.904299999999999</v>
      </c>
      <c r="Z63" s="29">
        <v>47.3232</v>
      </c>
      <c r="AA63" s="29">
        <v>48.733499999999999</v>
      </c>
      <c r="AB63" s="29">
        <v>13.702999999999999</v>
      </c>
      <c r="AC63" s="29"/>
      <c r="AD63" s="15">
        <f t="shared" si="10"/>
        <v>3.8063888888888887E-3</v>
      </c>
      <c r="AE63" s="19">
        <f>RBJM($P63:$Q66,X63:Y66)</f>
        <v>-7.5108023373768651</v>
      </c>
      <c r="AF63" s="19">
        <f>RBJM($D63:$E66,H63:I66)</f>
        <v>-15.602961768907909</v>
      </c>
      <c r="AG63" s="19">
        <f>RBJM($F63:$G66,J63:K66)</f>
        <v>-14.046140241292548</v>
      </c>
      <c r="AH63" s="19">
        <f t="shared" si="12"/>
        <v>6.7032902525168525E-2</v>
      </c>
    </row>
    <row r="64" spans="1:34" ht="12" thickBot="1">
      <c r="A64" s="20" t="s">
        <v>53</v>
      </c>
      <c r="B64" s="20" t="s">
        <v>72</v>
      </c>
      <c r="C64" s="20">
        <v>27</v>
      </c>
      <c r="D64" s="34">
        <f t="shared" si="0"/>
        <v>1188.9749999999999</v>
      </c>
      <c r="E64" s="34">
        <f t="shared" si="1"/>
        <v>45.3354</v>
      </c>
      <c r="F64" s="34">
        <f t="shared" si="2"/>
        <v>1188.9749999999999</v>
      </c>
      <c r="G64" s="34">
        <f t="shared" si="3"/>
        <v>46.589100000000002</v>
      </c>
      <c r="H64" s="34">
        <f t="shared" si="4"/>
        <v>1106.895</v>
      </c>
      <c r="I64" s="34">
        <f t="shared" si="5"/>
        <v>45.529800000000002</v>
      </c>
      <c r="J64" s="34">
        <f t="shared" si="6"/>
        <v>1106.895</v>
      </c>
      <c r="K64" s="35">
        <f t="shared" si="7"/>
        <v>46.773800000000001</v>
      </c>
      <c r="L64" s="18">
        <v>12954.9856</v>
      </c>
      <c r="M64" s="18">
        <v>42.338999999999999</v>
      </c>
      <c r="N64" s="18">
        <v>45.819099999999999</v>
      </c>
      <c r="O64" s="18">
        <v>46.494199999999999</v>
      </c>
      <c r="P64" s="16">
        <v>1188.9749999999999</v>
      </c>
      <c r="Q64" s="16">
        <v>40.9726</v>
      </c>
      <c r="R64" s="16">
        <v>45.3354</v>
      </c>
      <c r="S64" s="16">
        <v>46.589100000000002</v>
      </c>
      <c r="T64" s="16">
        <v>178.89099999999999</v>
      </c>
      <c r="U64" s="17"/>
      <c r="V64" s="18">
        <f t="shared" si="8"/>
        <v>4.9691944444444441E-2</v>
      </c>
      <c r="W64" s="21" t="str">
        <f t="shared" si="9"/>
        <v>!</v>
      </c>
      <c r="X64" s="16">
        <v>1106.895</v>
      </c>
      <c r="Y64" s="16">
        <v>41.069400000000002</v>
      </c>
      <c r="Z64" s="16">
        <v>45.529800000000002</v>
      </c>
      <c r="AA64" s="16">
        <v>46.773800000000001</v>
      </c>
      <c r="AB64" s="16">
        <v>8.0310000000000006</v>
      </c>
      <c r="AC64" s="16"/>
      <c r="AD64" s="18">
        <f t="shared" si="10"/>
        <v>2.2308333333333334E-3</v>
      </c>
      <c r="AE64" s="22"/>
      <c r="AF64" s="22"/>
      <c r="AG64" s="22"/>
      <c r="AH64" s="19">
        <f t="shared" si="12"/>
        <v>4.489325902365128E-2</v>
      </c>
    </row>
    <row r="65" spans="1:34" ht="12" thickBot="1">
      <c r="A65" s="20"/>
      <c r="B65" s="20"/>
      <c r="C65" s="20">
        <v>32</v>
      </c>
      <c r="D65" s="34">
        <f t="shared" si="0"/>
        <v>679.29</v>
      </c>
      <c r="E65" s="34">
        <f t="shared" si="1"/>
        <v>43.303800000000003</v>
      </c>
      <c r="F65" s="34">
        <f t="shared" si="2"/>
        <v>679.29</v>
      </c>
      <c r="G65" s="34">
        <f t="shared" si="3"/>
        <v>44.582299999999996</v>
      </c>
      <c r="H65" s="34">
        <f t="shared" si="4"/>
        <v>622.95000000000005</v>
      </c>
      <c r="I65" s="34">
        <f t="shared" si="5"/>
        <v>43.6539</v>
      </c>
      <c r="J65" s="34">
        <f t="shared" si="6"/>
        <v>622.95000000000005</v>
      </c>
      <c r="K65" s="35">
        <f t="shared" si="7"/>
        <v>44.781100000000002</v>
      </c>
      <c r="L65" s="18">
        <v>7795.1288000000004</v>
      </c>
      <c r="M65" s="18">
        <v>39.7254</v>
      </c>
      <c r="N65" s="18">
        <v>44.270699999999998</v>
      </c>
      <c r="O65" s="18">
        <v>44.7483</v>
      </c>
      <c r="P65" s="16">
        <v>679.29</v>
      </c>
      <c r="Q65" s="16">
        <v>38.732100000000003</v>
      </c>
      <c r="R65" s="16">
        <v>43.303800000000003</v>
      </c>
      <c r="S65" s="16">
        <v>44.582299999999996</v>
      </c>
      <c r="T65" s="16">
        <v>170.14099999999999</v>
      </c>
      <c r="U65" s="17"/>
      <c r="V65" s="18">
        <f t="shared" si="8"/>
        <v>4.7261388888888888E-2</v>
      </c>
      <c r="W65" s="21" t="str">
        <f t="shared" si="9"/>
        <v>!</v>
      </c>
      <c r="X65" s="16">
        <v>622.95000000000005</v>
      </c>
      <c r="Y65" s="16">
        <v>38.588799999999999</v>
      </c>
      <c r="Z65" s="16">
        <v>43.6539</v>
      </c>
      <c r="AA65" s="16">
        <v>44.781100000000002</v>
      </c>
      <c r="AB65" s="16">
        <v>5.7190000000000003</v>
      </c>
      <c r="AC65" s="16"/>
      <c r="AD65" s="18">
        <f t="shared" si="10"/>
        <v>1.5886111111111112E-3</v>
      </c>
      <c r="AE65" s="22"/>
      <c r="AF65" s="22"/>
      <c r="AG65" s="22"/>
      <c r="AH65" s="19">
        <f t="shared" si="12"/>
        <v>3.3613297206434668E-2</v>
      </c>
    </row>
    <row r="66" spans="1:34" ht="12" thickBot="1">
      <c r="A66" s="20"/>
      <c r="B66" s="23"/>
      <c r="C66" s="23">
        <v>37</v>
      </c>
      <c r="D66" s="36">
        <f t="shared" si="0"/>
        <v>395.20499999999998</v>
      </c>
      <c r="E66" s="36">
        <f t="shared" si="1"/>
        <v>41.475299999999997</v>
      </c>
      <c r="F66" s="36">
        <f t="shared" si="2"/>
        <v>395.20499999999998</v>
      </c>
      <c r="G66" s="36">
        <f t="shared" si="3"/>
        <v>42.519199999999998</v>
      </c>
      <c r="H66" s="36">
        <f t="shared" si="4"/>
        <v>363.9</v>
      </c>
      <c r="I66" s="36">
        <f t="shared" si="5"/>
        <v>41.702199999999998</v>
      </c>
      <c r="J66" s="36">
        <f t="shared" si="6"/>
        <v>363.9</v>
      </c>
      <c r="K66" s="37">
        <f t="shared" si="7"/>
        <v>42.805399999999999</v>
      </c>
      <c r="L66" s="26">
        <v>4680.3424000000005</v>
      </c>
      <c r="M66" s="26">
        <v>36.9131</v>
      </c>
      <c r="N66" s="26">
        <v>42.669400000000003</v>
      </c>
      <c r="O66" s="26">
        <v>42.917000000000002</v>
      </c>
      <c r="P66" s="27">
        <v>395.20499999999998</v>
      </c>
      <c r="Q66" s="27">
        <v>35.939</v>
      </c>
      <c r="R66" s="27">
        <v>41.475299999999997</v>
      </c>
      <c r="S66" s="27">
        <v>42.519199999999998</v>
      </c>
      <c r="T66" s="27">
        <v>164.625</v>
      </c>
      <c r="U66" s="28"/>
      <c r="V66" s="26">
        <f t="shared" si="8"/>
        <v>4.5729166666666668E-2</v>
      </c>
      <c r="W66" s="21" t="str">
        <f t="shared" si="9"/>
        <v>!</v>
      </c>
      <c r="X66" s="27">
        <v>363.9</v>
      </c>
      <c r="Y66" s="27">
        <v>35.738300000000002</v>
      </c>
      <c r="Z66" s="27">
        <v>41.702199999999998</v>
      </c>
      <c r="AA66" s="27">
        <v>42.805399999999999</v>
      </c>
      <c r="AB66" s="27">
        <v>4.5</v>
      </c>
      <c r="AC66" s="27"/>
      <c r="AD66" s="26">
        <f t="shared" si="10"/>
        <v>1.25E-3</v>
      </c>
      <c r="AE66" s="23"/>
      <c r="AF66" s="23"/>
      <c r="AG66" s="23"/>
      <c r="AH66" s="19">
        <f t="shared" si="12"/>
        <v>2.7334851936218679E-2</v>
      </c>
    </row>
    <row r="67" spans="1:34" ht="12" thickBot="1">
      <c r="A67" s="20"/>
      <c r="B67" s="12" t="s">
        <v>54</v>
      </c>
      <c r="C67" s="12">
        <v>22</v>
      </c>
      <c r="D67" s="30">
        <f t="shared" ref="D67:D90" si="13">P67</f>
        <v>2067.5100000000002</v>
      </c>
      <c r="E67" s="30">
        <f t="shared" ref="E67:E90" si="14">R67</f>
        <v>48.214799999999997</v>
      </c>
      <c r="F67" s="30">
        <f t="shared" ref="F67:F90" si="15">P67</f>
        <v>2067.5100000000002</v>
      </c>
      <c r="G67" s="30">
        <f t="shared" ref="G67:G90" si="16">S67</f>
        <v>48.807000000000002</v>
      </c>
      <c r="H67" s="30">
        <f t="shared" ref="H67:H90" si="17">X67</f>
        <v>1950.105</v>
      </c>
      <c r="I67" s="30">
        <f t="shared" ref="I67:I90" si="18">Z67</f>
        <v>48.607300000000002</v>
      </c>
      <c r="J67" s="30">
        <f t="shared" ref="J67:J90" si="19">X67</f>
        <v>1950.105</v>
      </c>
      <c r="K67" s="31">
        <f t="shared" ref="K67:K90" si="20">AA67</f>
        <v>49.338500000000003</v>
      </c>
      <c r="L67" s="15">
        <v>22362.134399999999</v>
      </c>
      <c r="M67" s="15">
        <v>44.707799999999999</v>
      </c>
      <c r="N67" s="15">
        <v>48.474400000000003</v>
      </c>
      <c r="O67" s="15">
        <v>48.293500000000002</v>
      </c>
      <c r="P67" s="29">
        <v>2067.5100000000002</v>
      </c>
      <c r="Q67" s="29">
        <v>42.726799999999997</v>
      </c>
      <c r="R67" s="29">
        <v>48.214799999999997</v>
      </c>
      <c r="S67" s="29">
        <v>48.807000000000002</v>
      </c>
      <c r="T67" s="29">
        <v>210.828</v>
      </c>
      <c r="U67" s="17"/>
      <c r="V67" s="15">
        <f t="shared" ref="V67:V90" si="21">T67/3600</f>
        <v>5.8563333333333335E-2</v>
      </c>
      <c r="W67" s="21" t="str">
        <f t="shared" ref="W67:W90" si="22">IF(OR(AND(P67="",Q67="",R67="",S67=""),AND(L67=P67,M67=Q67,N67=R67,O67=S67)),"","!")</f>
        <v>!</v>
      </c>
      <c r="X67" s="29">
        <v>1950.105</v>
      </c>
      <c r="Y67" s="29">
        <v>42.847499999999997</v>
      </c>
      <c r="Z67" s="29">
        <v>48.607300000000002</v>
      </c>
      <c r="AA67" s="29">
        <v>49.338500000000003</v>
      </c>
      <c r="AB67" s="29">
        <v>13.688000000000001</v>
      </c>
      <c r="AC67" s="29"/>
      <c r="AD67" s="15">
        <f t="shared" ref="AD67:AD90" si="23">AB67/3600</f>
        <v>3.8022222222222225E-3</v>
      </c>
      <c r="AE67" s="19">
        <f>RBJM($P67:$Q70,X67:Y70)</f>
        <v>-8.3171895666798275</v>
      </c>
      <c r="AF67" s="19">
        <f>RBJM($D67:$E70,H67:I70)</f>
        <v>-11.97161900923841</v>
      </c>
      <c r="AG67" s="19">
        <f>RBJM($F67:$G70,J67:K70)</f>
        <v>-14.177115462196078</v>
      </c>
      <c r="AH67" s="19">
        <f t="shared" si="12"/>
        <v>6.4924962528696381E-2</v>
      </c>
    </row>
    <row r="68" spans="1:34" ht="12" thickBot="1">
      <c r="A68" s="20"/>
      <c r="B68" s="20" t="s">
        <v>73</v>
      </c>
      <c r="C68" s="20">
        <v>27</v>
      </c>
      <c r="D68" s="13">
        <f t="shared" si="13"/>
        <v>756.06</v>
      </c>
      <c r="E68" s="13">
        <f t="shared" si="14"/>
        <v>46.911499999999997</v>
      </c>
      <c r="F68" s="13">
        <f t="shared" si="15"/>
        <v>756.06</v>
      </c>
      <c r="G68" s="13">
        <f t="shared" si="16"/>
        <v>47.448300000000003</v>
      </c>
      <c r="H68" s="13">
        <f t="shared" si="17"/>
        <v>710.68499999999995</v>
      </c>
      <c r="I68" s="13">
        <f t="shared" si="18"/>
        <v>47.016300000000001</v>
      </c>
      <c r="J68" s="13">
        <f t="shared" si="19"/>
        <v>710.68499999999995</v>
      </c>
      <c r="K68" s="14">
        <f t="shared" si="20"/>
        <v>47.672699999999999</v>
      </c>
      <c r="L68" s="18">
        <v>13753.864799999999</v>
      </c>
      <c r="M68" s="18">
        <v>42.311199999999999</v>
      </c>
      <c r="N68" s="18">
        <v>46.9818</v>
      </c>
      <c r="O68" s="18">
        <v>46.137900000000002</v>
      </c>
      <c r="P68" s="16">
        <v>756.06</v>
      </c>
      <c r="Q68" s="16">
        <v>41.323700000000002</v>
      </c>
      <c r="R68" s="16">
        <v>46.911499999999997</v>
      </c>
      <c r="S68" s="16">
        <v>47.448300000000003</v>
      </c>
      <c r="T68" s="16">
        <v>177.98400000000001</v>
      </c>
      <c r="U68" s="17"/>
      <c r="V68" s="18">
        <f t="shared" si="21"/>
        <v>4.9440000000000005E-2</v>
      </c>
      <c r="W68" s="21" t="str">
        <f t="shared" si="22"/>
        <v>!</v>
      </c>
      <c r="X68" s="16">
        <v>710.68499999999995</v>
      </c>
      <c r="Y68" s="16">
        <v>41.4086</v>
      </c>
      <c r="Z68" s="16">
        <v>47.016300000000001</v>
      </c>
      <c r="AA68" s="16">
        <v>47.672699999999999</v>
      </c>
      <c r="AB68" s="16">
        <v>7.359</v>
      </c>
      <c r="AC68" s="16"/>
      <c r="AD68" s="18">
        <f t="shared" si="23"/>
        <v>2.0441666666666668E-3</v>
      </c>
      <c r="AE68" s="22"/>
      <c r="AF68" s="22"/>
      <c r="AG68" s="22"/>
      <c r="AH68" s="19">
        <f t="shared" si="12"/>
        <v>4.134641316073355E-2</v>
      </c>
    </row>
    <row r="69" spans="1:34" ht="12" thickBot="1">
      <c r="A69" s="20"/>
      <c r="B69" s="20"/>
      <c r="C69" s="20">
        <v>32</v>
      </c>
      <c r="D69" s="13">
        <f t="shared" si="13"/>
        <v>387.01499999999999</v>
      </c>
      <c r="E69" s="13">
        <f t="shared" si="14"/>
        <v>45.057400000000001</v>
      </c>
      <c r="F69" s="13">
        <f t="shared" si="15"/>
        <v>387.01499999999999</v>
      </c>
      <c r="G69" s="13">
        <f t="shared" si="16"/>
        <v>45.649799999999999</v>
      </c>
      <c r="H69" s="13">
        <f t="shared" si="17"/>
        <v>356.79</v>
      </c>
      <c r="I69" s="13">
        <f t="shared" si="18"/>
        <v>45.175400000000003</v>
      </c>
      <c r="J69" s="13">
        <f t="shared" si="19"/>
        <v>356.79</v>
      </c>
      <c r="K69" s="14">
        <f t="shared" si="20"/>
        <v>45.7697</v>
      </c>
      <c r="L69" s="18">
        <v>8487.1407999999992</v>
      </c>
      <c r="M69" s="18">
        <v>39.568399999999997</v>
      </c>
      <c r="N69" s="18">
        <v>45.741</v>
      </c>
      <c r="O69" s="18">
        <v>43.985599999999998</v>
      </c>
      <c r="P69" s="16">
        <v>387.01499999999999</v>
      </c>
      <c r="Q69" s="16">
        <v>39.638399999999997</v>
      </c>
      <c r="R69" s="16">
        <v>45.057400000000001</v>
      </c>
      <c r="S69" s="16">
        <v>45.649799999999999</v>
      </c>
      <c r="T69" s="16">
        <v>168.46899999999999</v>
      </c>
      <c r="U69" s="17"/>
      <c r="V69" s="18">
        <f t="shared" si="21"/>
        <v>4.679694444444444E-2</v>
      </c>
      <c r="W69" s="21" t="str">
        <f t="shared" si="22"/>
        <v>!</v>
      </c>
      <c r="X69" s="16">
        <v>356.79</v>
      </c>
      <c r="Y69" s="16">
        <v>39.594999999999999</v>
      </c>
      <c r="Z69" s="16">
        <v>45.175400000000003</v>
      </c>
      <c r="AA69" s="16">
        <v>45.7697</v>
      </c>
      <c r="AB69" s="16">
        <v>5.0780000000000003</v>
      </c>
      <c r="AC69" s="16"/>
      <c r="AD69" s="18">
        <f t="shared" si="23"/>
        <v>1.4105555555555557E-3</v>
      </c>
      <c r="AE69" s="22"/>
      <c r="AF69" s="22"/>
      <c r="AG69" s="22"/>
      <c r="AH69" s="19">
        <f t="shared" si="12"/>
        <v>3.0142043936866727E-2</v>
      </c>
    </row>
    <row r="70" spans="1:34" ht="12" thickBot="1">
      <c r="A70" s="20"/>
      <c r="B70" s="23"/>
      <c r="C70" s="23">
        <v>37</v>
      </c>
      <c r="D70" s="24">
        <f t="shared" si="13"/>
        <v>216.315</v>
      </c>
      <c r="E70" s="24">
        <f t="shared" si="14"/>
        <v>43.269100000000002</v>
      </c>
      <c r="F70" s="24">
        <f t="shared" si="15"/>
        <v>216.315</v>
      </c>
      <c r="G70" s="24">
        <f t="shared" si="16"/>
        <v>43.884700000000002</v>
      </c>
      <c r="H70" s="24">
        <f t="shared" si="17"/>
        <v>199.935</v>
      </c>
      <c r="I70" s="24">
        <f t="shared" si="18"/>
        <v>43.085700000000003</v>
      </c>
      <c r="J70" s="24">
        <f t="shared" si="19"/>
        <v>199.935</v>
      </c>
      <c r="K70" s="25">
        <f t="shared" si="20"/>
        <v>43.676699999999997</v>
      </c>
      <c r="L70" s="26">
        <v>5097.7752</v>
      </c>
      <c r="M70" s="26">
        <v>36.5212</v>
      </c>
      <c r="N70" s="26">
        <v>44.222099999999998</v>
      </c>
      <c r="O70" s="26">
        <v>42.212000000000003</v>
      </c>
      <c r="P70" s="27">
        <v>216.315</v>
      </c>
      <c r="Q70" s="27">
        <v>37.448099999999997</v>
      </c>
      <c r="R70" s="27">
        <v>43.269100000000002</v>
      </c>
      <c r="S70" s="27">
        <v>43.884700000000002</v>
      </c>
      <c r="T70" s="27">
        <v>162.85900000000001</v>
      </c>
      <c r="U70" s="28"/>
      <c r="V70" s="26">
        <f t="shared" si="21"/>
        <v>4.5238611111111111E-2</v>
      </c>
      <c r="W70" s="21" t="str">
        <f t="shared" si="22"/>
        <v>!</v>
      </c>
      <c r="X70" s="27">
        <v>199.935</v>
      </c>
      <c r="Y70" s="27">
        <v>37.355400000000003</v>
      </c>
      <c r="Z70" s="27">
        <v>43.085700000000003</v>
      </c>
      <c r="AA70" s="27">
        <v>43.676699999999997</v>
      </c>
      <c r="AB70" s="27">
        <v>3.9529999999999998</v>
      </c>
      <c r="AC70" s="27"/>
      <c r="AD70" s="26">
        <f t="shared" si="23"/>
        <v>1.0980555555555555E-3</v>
      </c>
      <c r="AE70" s="23"/>
      <c r="AF70" s="23"/>
      <c r="AG70" s="23"/>
      <c r="AH70" s="19">
        <f t="shared" si="12"/>
        <v>2.4272530225532513E-2</v>
      </c>
    </row>
    <row r="71" spans="1:34" ht="12" thickBot="1">
      <c r="A71" s="20"/>
      <c r="B71" s="12" t="s">
        <v>55</v>
      </c>
      <c r="C71" s="12">
        <v>22</v>
      </c>
      <c r="D71" s="30">
        <f t="shared" si="13"/>
        <v>2210.31</v>
      </c>
      <c r="E71" s="30">
        <f t="shared" si="14"/>
        <v>47.615000000000002</v>
      </c>
      <c r="F71" s="30">
        <f t="shared" si="15"/>
        <v>2210.31</v>
      </c>
      <c r="G71" s="30">
        <f t="shared" si="16"/>
        <v>48.531100000000002</v>
      </c>
      <c r="H71" s="30">
        <f t="shared" si="17"/>
        <v>2088.9450000000002</v>
      </c>
      <c r="I71" s="30">
        <f t="shared" si="18"/>
        <v>48.009799999999998</v>
      </c>
      <c r="J71" s="30">
        <f t="shared" si="19"/>
        <v>2088.9450000000002</v>
      </c>
      <c r="K71" s="31">
        <f t="shared" si="20"/>
        <v>48.985500000000002</v>
      </c>
      <c r="L71" s="15">
        <v>24067.865600000001</v>
      </c>
      <c r="M71" s="15">
        <v>44.720100000000002</v>
      </c>
      <c r="N71" s="15">
        <v>48.511600000000001</v>
      </c>
      <c r="O71" s="15">
        <v>48.673200000000001</v>
      </c>
      <c r="P71" s="29">
        <v>2210.31</v>
      </c>
      <c r="Q71" s="29">
        <v>43.190199999999997</v>
      </c>
      <c r="R71" s="29">
        <v>47.615000000000002</v>
      </c>
      <c r="S71" s="29">
        <v>48.531100000000002</v>
      </c>
      <c r="T71" s="29">
        <v>217.51599999999999</v>
      </c>
      <c r="U71" s="17"/>
      <c r="V71" s="15">
        <f t="shared" si="21"/>
        <v>6.0421111111111106E-2</v>
      </c>
      <c r="W71" s="21" t="str">
        <f t="shared" si="22"/>
        <v>!</v>
      </c>
      <c r="X71" s="29">
        <v>2088.9450000000002</v>
      </c>
      <c r="Y71" s="29">
        <v>43.33</v>
      </c>
      <c r="Z71" s="29">
        <v>48.009799999999998</v>
      </c>
      <c r="AA71" s="29">
        <v>48.985500000000002</v>
      </c>
      <c r="AB71" s="29">
        <v>13.75</v>
      </c>
      <c r="AC71" s="29"/>
      <c r="AD71" s="15">
        <f t="shared" si="23"/>
        <v>3.8194444444444443E-3</v>
      </c>
      <c r="AE71" s="19">
        <f>RBJM($P71:$Q74,X71:Y74)</f>
        <v>-9.2334429242382434</v>
      </c>
      <c r="AF71" s="19">
        <f>RBJM($D71:$E74,H71:I74)</f>
        <v>-9.9698909577107919</v>
      </c>
      <c r="AG71" s="19">
        <f>RBJM($F71:$G74,J71:K74)</f>
        <v>-13.536518353245464</v>
      </c>
      <c r="AH71" s="19">
        <f t="shared" si="12"/>
        <v>6.321374059839277E-2</v>
      </c>
    </row>
    <row r="72" spans="1:34" ht="12" thickBot="1">
      <c r="A72" s="20"/>
      <c r="B72" s="20" t="s">
        <v>74</v>
      </c>
      <c r="C72" s="20">
        <v>27</v>
      </c>
      <c r="D72" s="13">
        <f t="shared" si="13"/>
        <v>973.06500000000005</v>
      </c>
      <c r="E72" s="13">
        <f t="shared" si="14"/>
        <v>46.153500000000001</v>
      </c>
      <c r="F72" s="13">
        <f t="shared" si="15"/>
        <v>973.06500000000005</v>
      </c>
      <c r="G72" s="13">
        <f t="shared" si="16"/>
        <v>47.058199999999999</v>
      </c>
      <c r="H72" s="13">
        <f t="shared" si="17"/>
        <v>894.79499999999996</v>
      </c>
      <c r="I72" s="13">
        <f t="shared" si="18"/>
        <v>46.152999999999999</v>
      </c>
      <c r="J72" s="13">
        <f t="shared" si="19"/>
        <v>894.79499999999996</v>
      </c>
      <c r="K72" s="14">
        <f t="shared" si="20"/>
        <v>47.132399999999997</v>
      </c>
      <c r="L72" s="18">
        <v>14017.9936</v>
      </c>
      <c r="M72" s="18">
        <v>41.974299999999999</v>
      </c>
      <c r="N72" s="18">
        <v>46.7652</v>
      </c>
      <c r="O72" s="18">
        <v>46.870699999999999</v>
      </c>
      <c r="P72" s="16">
        <v>973.06500000000005</v>
      </c>
      <c r="Q72" s="16">
        <v>41.515099999999997</v>
      </c>
      <c r="R72" s="16">
        <v>46.153500000000001</v>
      </c>
      <c r="S72" s="16">
        <v>47.058199999999999</v>
      </c>
      <c r="T72" s="16">
        <v>190.172</v>
      </c>
      <c r="U72" s="17"/>
      <c r="V72" s="18">
        <f t="shared" si="21"/>
        <v>5.2825555555555556E-2</v>
      </c>
      <c r="W72" s="21" t="str">
        <f t="shared" si="22"/>
        <v>!</v>
      </c>
      <c r="X72" s="16">
        <v>894.79499999999996</v>
      </c>
      <c r="Y72" s="16">
        <v>41.579099999999997</v>
      </c>
      <c r="Z72" s="16">
        <v>46.152999999999999</v>
      </c>
      <c r="AA72" s="16">
        <v>47.132399999999997</v>
      </c>
      <c r="AB72" s="16">
        <v>8.0470000000000006</v>
      </c>
      <c r="AC72" s="16"/>
      <c r="AD72" s="18">
        <f t="shared" si="23"/>
        <v>2.2352777777777779E-3</v>
      </c>
      <c r="AE72" s="22"/>
      <c r="AF72" s="22"/>
      <c r="AG72" s="22"/>
      <c r="AH72" s="19">
        <f t="shared" si="12"/>
        <v>4.2314325978587808E-2</v>
      </c>
    </row>
    <row r="73" spans="1:34" ht="12" thickBot="1">
      <c r="A73" s="20"/>
      <c r="B73" s="20"/>
      <c r="C73" s="20">
        <v>32</v>
      </c>
      <c r="D73" s="13">
        <f t="shared" si="13"/>
        <v>512.65499999999997</v>
      </c>
      <c r="E73" s="13">
        <f t="shared" si="14"/>
        <v>44.195500000000003</v>
      </c>
      <c r="F73" s="13">
        <f t="shared" si="15"/>
        <v>512.65499999999997</v>
      </c>
      <c r="G73" s="13">
        <f t="shared" si="16"/>
        <v>45.154600000000002</v>
      </c>
      <c r="H73" s="13">
        <f t="shared" si="17"/>
        <v>464.14499999999998</v>
      </c>
      <c r="I73" s="13">
        <f t="shared" si="18"/>
        <v>44.188400000000001</v>
      </c>
      <c r="J73" s="13">
        <f t="shared" si="19"/>
        <v>464.14499999999998</v>
      </c>
      <c r="K73" s="14">
        <f t="shared" si="20"/>
        <v>45.3232</v>
      </c>
      <c r="L73" s="18">
        <v>8052.8407999999999</v>
      </c>
      <c r="M73" s="18">
        <v>39.206000000000003</v>
      </c>
      <c r="N73" s="18">
        <v>45.057200000000002</v>
      </c>
      <c r="O73" s="18">
        <v>44.975499999999997</v>
      </c>
      <c r="P73" s="16">
        <v>512.65499999999997</v>
      </c>
      <c r="Q73" s="16">
        <v>39.417499999999997</v>
      </c>
      <c r="R73" s="16">
        <v>44.195500000000003</v>
      </c>
      <c r="S73" s="16">
        <v>45.154600000000002</v>
      </c>
      <c r="T73" s="16">
        <v>177.84399999999999</v>
      </c>
      <c r="U73" s="17"/>
      <c r="V73" s="18">
        <f t="shared" si="21"/>
        <v>4.9401111111111111E-2</v>
      </c>
      <c r="W73" s="21" t="str">
        <f t="shared" si="22"/>
        <v>!</v>
      </c>
      <c r="X73" s="16">
        <v>464.14499999999998</v>
      </c>
      <c r="Y73" s="16">
        <v>39.353200000000001</v>
      </c>
      <c r="Z73" s="16">
        <v>44.188400000000001</v>
      </c>
      <c r="AA73" s="16">
        <v>45.3232</v>
      </c>
      <c r="AB73" s="16">
        <v>5.5620000000000003</v>
      </c>
      <c r="AC73" s="16"/>
      <c r="AD73" s="18">
        <f t="shared" si="23"/>
        <v>1.5450000000000001E-3</v>
      </c>
      <c r="AE73" s="22"/>
      <c r="AF73" s="22"/>
      <c r="AG73" s="22"/>
      <c r="AH73" s="19">
        <f t="shared" si="12"/>
        <v>3.1274600211421248E-2</v>
      </c>
    </row>
    <row r="74" spans="1:34" ht="12" thickBot="1">
      <c r="A74" s="23"/>
      <c r="B74" s="23"/>
      <c r="C74" s="23">
        <v>37</v>
      </c>
      <c r="D74" s="38">
        <f t="shared" si="13"/>
        <v>290.17500000000001</v>
      </c>
      <c r="E74" s="38">
        <f t="shared" si="14"/>
        <v>42.484000000000002</v>
      </c>
      <c r="F74" s="38">
        <f t="shared" si="15"/>
        <v>290.17500000000001</v>
      </c>
      <c r="G74" s="38">
        <f t="shared" si="16"/>
        <v>43.372100000000003</v>
      </c>
      <c r="H74" s="38">
        <f t="shared" si="17"/>
        <v>262.35000000000002</v>
      </c>
      <c r="I74" s="38">
        <f t="shared" si="18"/>
        <v>42.350299999999997</v>
      </c>
      <c r="J74" s="38">
        <f t="shared" si="19"/>
        <v>262.35000000000002</v>
      </c>
      <c r="K74" s="39">
        <f t="shared" si="20"/>
        <v>43.313000000000002</v>
      </c>
      <c r="L74" s="26">
        <v>4570.9063999999998</v>
      </c>
      <c r="M74" s="26">
        <v>36.446399999999997</v>
      </c>
      <c r="N74" s="26">
        <v>43.287999999999997</v>
      </c>
      <c r="O74" s="26">
        <v>42.9833</v>
      </c>
      <c r="P74" s="27">
        <v>290.17500000000001</v>
      </c>
      <c r="Q74" s="27">
        <v>36.936</v>
      </c>
      <c r="R74" s="27">
        <v>42.484000000000002</v>
      </c>
      <c r="S74" s="27">
        <v>43.372100000000003</v>
      </c>
      <c r="T74" s="27">
        <v>170.48400000000001</v>
      </c>
      <c r="U74" s="28"/>
      <c r="V74" s="26">
        <f t="shared" si="21"/>
        <v>4.7356666666666672E-2</v>
      </c>
      <c r="W74" s="21" t="str">
        <f t="shared" si="22"/>
        <v>!</v>
      </c>
      <c r="X74" s="27">
        <v>262.35000000000002</v>
      </c>
      <c r="Y74" s="27">
        <v>36.870100000000001</v>
      </c>
      <c r="Z74" s="27">
        <v>42.350299999999997</v>
      </c>
      <c r="AA74" s="27">
        <v>43.313000000000002</v>
      </c>
      <c r="AB74" s="27">
        <v>4.25</v>
      </c>
      <c r="AC74" s="27"/>
      <c r="AD74" s="26">
        <f t="shared" si="23"/>
        <v>1.1805555555555556E-3</v>
      </c>
      <c r="AE74" s="23"/>
      <c r="AF74" s="23"/>
      <c r="AG74" s="23"/>
      <c r="AH74" s="19">
        <f t="shared" si="12"/>
        <v>2.4929025597710049E-2</v>
      </c>
    </row>
    <row r="75" spans="1:34" ht="12" thickBot="1">
      <c r="A75" s="12" t="s">
        <v>76</v>
      </c>
      <c r="B75" s="12" t="s">
        <v>78</v>
      </c>
      <c r="C75" s="12">
        <v>22</v>
      </c>
      <c r="D75" s="32">
        <f t="shared" si="13"/>
        <v>3144.6</v>
      </c>
      <c r="E75" s="32">
        <f t="shared" si="14"/>
        <v>43.538499999999999</v>
      </c>
      <c r="F75" s="32">
        <f t="shared" si="15"/>
        <v>3144.6</v>
      </c>
      <c r="G75" s="32">
        <f t="shared" si="16"/>
        <v>44.174500000000002</v>
      </c>
      <c r="H75" s="32">
        <f t="shared" si="17"/>
        <v>2909.3874999999998</v>
      </c>
      <c r="I75" s="32">
        <f t="shared" si="18"/>
        <v>43.535299999999999</v>
      </c>
      <c r="J75" s="32">
        <f t="shared" si="19"/>
        <v>2909.3874999999998</v>
      </c>
      <c r="K75" s="33">
        <f t="shared" si="20"/>
        <v>44.160899999999998</v>
      </c>
      <c r="L75" s="15">
        <v>5553.8248000000003</v>
      </c>
      <c r="M75" s="15">
        <v>43.088000000000001</v>
      </c>
      <c r="N75" s="15">
        <v>45.012300000000003</v>
      </c>
      <c r="O75" s="15">
        <v>44.783900000000003</v>
      </c>
      <c r="P75" s="29">
        <v>3144.6</v>
      </c>
      <c r="Q75" s="29">
        <v>41.105699999999999</v>
      </c>
      <c r="R75" s="29">
        <v>43.538499999999999</v>
      </c>
      <c r="S75" s="29">
        <v>44.174500000000002</v>
      </c>
      <c r="T75" s="29">
        <v>158.328</v>
      </c>
      <c r="U75" s="17"/>
      <c r="V75" s="15">
        <f t="shared" si="21"/>
        <v>4.3979999999999998E-2</v>
      </c>
      <c r="W75" s="21" t="str">
        <f t="shared" si="22"/>
        <v>!</v>
      </c>
      <c r="X75" s="29">
        <v>2909.3874999999998</v>
      </c>
      <c r="Y75" s="29">
        <v>41.223300000000002</v>
      </c>
      <c r="Z75" s="29">
        <v>43.535299999999999</v>
      </c>
      <c r="AA75" s="29">
        <v>44.160899999999998</v>
      </c>
      <c r="AB75" s="29">
        <v>13.125</v>
      </c>
      <c r="AC75" s="29"/>
      <c r="AD75" s="15">
        <f t="shared" si="23"/>
        <v>3.6458333333333334E-3</v>
      </c>
      <c r="AE75" s="19">
        <f>RBJM($P75:$Q78,X75:Y78)</f>
        <v>-8.4596332402607111</v>
      </c>
      <c r="AF75" s="19">
        <f>RBJM($D75:$E78,H75:I78)</f>
        <v>-1.6977288679265845</v>
      </c>
      <c r="AG75" s="19">
        <f>RBJM($F75:$G78,J75:K78)</f>
        <v>0.24201642441894489</v>
      </c>
      <c r="AH75" s="19">
        <f t="shared" si="12"/>
        <v>8.2897529179930277E-2</v>
      </c>
    </row>
    <row r="76" spans="1:34" ht="12" thickBot="1">
      <c r="A76" s="20" t="s">
        <v>77</v>
      </c>
      <c r="B76" s="20" t="s">
        <v>82</v>
      </c>
      <c r="C76" s="20">
        <v>27</v>
      </c>
      <c r="D76" s="34">
        <f t="shared" si="13"/>
        <v>1498.4625000000001</v>
      </c>
      <c r="E76" s="34">
        <f t="shared" si="14"/>
        <v>41.201000000000001</v>
      </c>
      <c r="F76" s="34">
        <f t="shared" si="15"/>
        <v>1498.4625000000001</v>
      </c>
      <c r="G76" s="34">
        <f t="shared" si="16"/>
        <v>41.469799999999999</v>
      </c>
      <c r="H76" s="34">
        <f t="shared" si="17"/>
        <v>1369.8125</v>
      </c>
      <c r="I76" s="34">
        <f t="shared" si="18"/>
        <v>40.8093</v>
      </c>
      <c r="J76" s="34">
        <f t="shared" si="19"/>
        <v>1369.8125</v>
      </c>
      <c r="K76" s="35">
        <f t="shared" si="20"/>
        <v>40.974600000000002</v>
      </c>
      <c r="L76" s="18">
        <v>3324.4472000000001</v>
      </c>
      <c r="M76" s="18">
        <v>39.442</v>
      </c>
      <c r="N76" s="18">
        <v>41.993200000000002</v>
      </c>
      <c r="O76" s="18">
        <v>41.495800000000003</v>
      </c>
      <c r="P76" s="16">
        <v>1498.4625000000001</v>
      </c>
      <c r="Q76" s="16">
        <v>37.994</v>
      </c>
      <c r="R76" s="16">
        <v>41.201000000000001</v>
      </c>
      <c r="S76" s="16">
        <v>41.469799999999999</v>
      </c>
      <c r="T76" s="16">
        <v>126.40600000000001</v>
      </c>
      <c r="U76" s="17"/>
      <c r="V76" s="18">
        <f t="shared" si="21"/>
        <v>3.5112777777777777E-2</v>
      </c>
      <c r="W76" s="21" t="str">
        <f t="shared" si="22"/>
        <v>!</v>
      </c>
      <c r="X76" s="16">
        <v>1369.8125</v>
      </c>
      <c r="Y76" s="16">
        <v>37.970799999999997</v>
      </c>
      <c r="Z76" s="16">
        <v>40.8093</v>
      </c>
      <c r="AA76" s="16">
        <v>40.974600000000002</v>
      </c>
      <c r="AB76" s="16">
        <v>8.859</v>
      </c>
      <c r="AC76" s="16"/>
      <c r="AD76" s="18">
        <f t="shared" si="23"/>
        <v>2.4608333333333335E-3</v>
      </c>
      <c r="AE76" s="22"/>
      <c r="AF76" s="22"/>
      <c r="AG76" s="22"/>
      <c r="AH76" s="19">
        <f t="shared" si="12"/>
        <v>7.0083698558612725E-2</v>
      </c>
    </row>
    <row r="77" spans="1:34" ht="12" thickBot="1">
      <c r="A77" s="20"/>
      <c r="B77" s="20"/>
      <c r="C77" s="20">
        <v>32</v>
      </c>
      <c r="D77" s="34">
        <f t="shared" si="13"/>
        <v>772.82500000000005</v>
      </c>
      <c r="E77" s="34">
        <f t="shared" si="14"/>
        <v>38.8232</v>
      </c>
      <c r="F77" s="34">
        <f t="shared" si="15"/>
        <v>772.82500000000005</v>
      </c>
      <c r="G77" s="34">
        <f t="shared" si="16"/>
        <v>38.892899999999997</v>
      </c>
      <c r="H77" s="34">
        <f t="shared" si="17"/>
        <v>685.6875</v>
      </c>
      <c r="I77" s="34">
        <f t="shared" si="18"/>
        <v>38.5015</v>
      </c>
      <c r="J77" s="34">
        <f t="shared" si="19"/>
        <v>685.6875</v>
      </c>
      <c r="K77" s="35">
        <f t="shared" si="20"/>
        <v>38.512999999999998</v>
      </c>
      <c r="L77" s="18">
        <v>1901.104</v>
      </c>
      <c r="M77" s="18">
        <v>36.066800000000001</v>
      </c>
      <c r="N77" s="18">
        <v>39.441600000000001</v>
      </c>
      <c r="O77" s="18">
        <v>38.793399999999998</v>
      </c>
      <c r="P77" s="16">
        <v>772.82500000000005</v>
      </c>
      <c r="Q77" s="16">
        <v>35.064999999999998</v>
      </c>
      <c r="R77" s="16">
        <v>38.8232</v>
      </c>
      <c r="S77" s="16">
        <v>38.892899999999997</v>
      </c>
      <c r="T77" s="16">
        <v>108.09399999999999</v>
      </c>
      <c r="U77" s="17"/>
      <c r="V77" s="18">
        <f t="shared" si="21"/>
        <v>3.0026111111111111E-2</v>
      </c>
      <c r="W77" s="21" t="str">
        <f t="shared" si="22"/>
        <v>!</v>
      </c>
      <c r="X77" s="16">
        <v>685.6875</v>
      </c>
      <c r="Y77" s="16">
        <v>34.927300000000002</v>
      </c>
      <c r="Z77" s="16">
        <v>38.5015</v>
      </c>
      <c r="AA77" s="16">
        <v>38.512999999999998</v>
      </c>
      <c r="AB77" s="16">
        <v>6.1719999999999997</v>
      </c>
      <c r="AC77" s="16"/>
      <c r="AD77" s="18">
        <f t="shared" si="23"/>
        <v>1.7144444444444444E-3</v>
      </c>
      <c r="AE77" s="22"/>
      <c r="AF77" s="22"/>
      <c r="AG77" s="22"/>
      <c r="AH77" s="19">
        <f t="shared" si="12"/>
        <v>5.7098451347900904E-2</v>
      </c>
    </row>
    <row r="78" spans="1:34" ht="12" thickBot="1">
      <c r="A78" s="20"/>
      <c r="B78" s="23"/>
      <c r="C78" s="23">
        <v>37</v>
      </c>
      <c r="D78" s="36">
        <f t="shared" si="13"/>
        <v>407.16250000000002</v>
      </c>
      <c r="E78" s="36">
        <f t="shared" si="14"/>
        <v>36.656199999999998</v>
      </c>
      <c r="F78" s="36">
        <f t="shared" si="15"/>
        <v>407.16250000000002</v>
      </c>
      <c r="G78" s="36">
        <f t="shared" si="16"/>
        <v>36.6492</v>
      </c>
      <c r="H78" s="36">
        <f t="shared" si="17"/>
        <v>361.73750000000001</v>
      </c>
      <c r="I78" s="36">
        <f t="shared" si="18"/>
        <v>36.541400000000003</v>
      </c>
      <c r="J78" s="36">
        <f t="shared" si="19"/>
        <v>361.73750000000001</v>
      </c>
      <c r="K78" s="37">
        <f t="shared" si="20"/>
        <v>36.304299999999998</v>
      </c>
      <c r="L78" s="26">
        <v>1035.2256</v>
      </c>
      <c r="M78" s="26">
        <v>32.910800000000002</v>
      </c>
      <c r="N78" s="26">
        <v>37.173299999999998</v>
      </c>
      <c r="O78" s="26">
        <v>36.237900000000003</v>
      </c>
      <c r="P78" s="27">
        <v>407.16250000000002</v>
      </c>
      <c r="Q78" s="27">
        <v>32.370600000000003</v>
      </c>
      <c r="R78" s="27">
        <v>36.656199999999998</v>
      </c>
      <c r="S78" s="27">
        <v>36.6492</v>
      </c>
      <c r="T78" s="27">
        <v>96.218999999999994</v>
      </c>
      <c r="U78" s="28"/>
      <c r="V78" s="26">
        <f t="shared" si="21"/>
        <v>2.6727499999999998E-2</v>
      </c>
      <c r="W78" s="21" t="str">
        <f t="shared" si="22"/>
        <v>!</v>
      </c>
      <c r="X78" s="27">
        <v>361.73750000000001</v>
      </c>
      <c r="Y78" s="27">
        <v>32.232199999999999</v>
      </c>
      <c r="Z78" s="27">
        <v>36.541400000000003</v>
      </c>
      <c r="AA78" s="27">
        <v>36.304299999999998</v>
      </c>
      <c r="AB78" s="27">
        <v>4.4690000000000003</v>
      </c>
      <c r="AC78" s="27"/>
      <c r="AD78" s="26">
        <f t="shared" si="23"/>
        <v>1.2413888888888889E-3</v>
      </c>
      <c r="AE78" s="23"/>
      <c r="AF78" s="23"/>
      <c r="AG78" s="23"/>
      <c r="AH78" s="19">
        <f t="shared" si="12"/>
        <v>4.6446128103597009E-2</v>
      </c>
    </row>
    <row r="79" spans="1:34" ht="12" thickBot="1">
      <c r="A79" s="20"/>
      <c r="B79" s="12" t="s">
        <v>79</v>
      </c>
      <c r="C79" s="12">
        <v>22</v>
      </c>
      <c r="D79" s="30">
        <f t="shared" si="13"/>
        <v>4586.2425000000003</v>
      </c>
      <c r="E79" s="30">
        <f t="shared" si="14"/>
        <v>45.898699999999998</v>
      </c>
      <c r="F79" s="30">
        <f t="shared" si="15"/>
        <v>4586.2425000000003</v>
      </c>
      <c r="G79" s="30">
        <f t="shared" si="16"/>
        <v>45.890300000000003</v>
      </c>
      <c r="H79" s="30">
        <f t="shared" si="17"/>
        <v>5231.9324999999999</v>
      </c>
      <c r="I79" s="30">
        <f t="shared" si="18"/>
        <v>45.733699999999999</v>
      </c>
      <c r="J79" s="30">
        <f t="shared" si="19"/>
        <v>5231.9324999999999</v>
      </c>
      <c r="K79" s="31">
        <f t="shared" si="20"/>
        <v>45.5366</v>
      </c>
      <c r="L79" s="15">
        <v>13737.6728</v>
      </c>
      <c r="M79" s="15">
        <v>41.3386</v>
      </c>
      <c r="N79" s="15">
        <v>43.279299999999999</v>
      </c>
      <c r="O79" s="15">
        <v>44.167299999999997</v>
      </c>
      <c r="P79" s="29">
        <v>4586.2425000000003</v>
      </c>
      <c r="Q79" s="29">
        <v>43.292499999999997</v>
      </c>
      <c r="R79" s="29">
        <v>45.898699999999998</v>
      </c>
      <c r="S79" s="29">
        <v>45.890300000000003</v>
      </c>
      <c r="T79" s="29">
        <v>367.68799999999999</v>
      </c>
      <c r="U79" s="17"/>
      <c r="V79" s="15">
        <f t="shared" si="21"/>
        <v>0.10213555555555555</v>
      </c>
      <c r="W79" s="21" t="str">
        <f t="shared" si="22"/>
        <v>!</v>
      </c>
      <c r="X79" s="29">
        <v>5231.9324999999999</v>
      </c>
      <c r="Y79" s="29">
        <v>42.622</v>
      </c>
      <c r="Z79" s="29">
        <v>45.733699999999999</v>
      </c>
      <c r="AA79" s="29">
        <v>45.5366</v>
      </c>
      <c r="AB79" s="29">
        <v>28.077999999999999</v>
      </c>
      <c r="AC79" s="29"/>
      <c r="AD79" s="15">
        <f t="shared" si="23"/>
        <v>7.7994444444444439E-3</v>
      </c>
      <c r="AE79" s="19">
        <f>RBJM($P79:$Q82,X79:Y82)</f>
        <v>27.597700900564458</v>
      </c>
      <c r="AF79" s="19">
        <f>RBJM($D79:$E82,H79:I82)</f>
        <v>10.43770817179257</v>
      </c>
      <c r="AG79" s="19">
        <f>RBJM($F79:$G82,J79:K82)</f>
        <v>26.351451762152188</v>
      </c>
      <c r="AH79" s="19">
        <f t="shared" si="12"/>
        <v>7.6363656143251885E-2</v>
      </c>
    </row>
    <row r="80" spans="1:34" ht="12" thickBot="1">
      <c r="A80" s="20"/>
      <c r="B80" s="20" t="s">
        <v>83</v>
      </c>
      <c r="C80" s="20">
        <v>27</v>
      </c>
      <c r="D80" s="13">
        <f t="shared" si="13"/>
        <v>2374.71</v>
      </c>
      <c r="E80" s="13">
        <f t="shared" si="14"/>
        <v>42.972299999999997</v>
      </c>
      <c r="F80" s="13">
        <f t="shared" si="15"/>
        <v>2374.71</v>
      </c>
      <c r="G80" s="13">
        <f t="shared" si="16"/>
        <v>42.875599999999999</v>
      </c>
      <c r="H80" s="13">
        <f t="shared" si="17"/>
        <v>2651.7824999999998</v>
      </c>
      <c r="I80" s="13">
        <f t="shared" si="18"/>
        <v>42.815300000000001</v>
      </c>
      <c r="J80" s="13">
        <f t="shared" si="19"/>
        <v>2651.7824999999998</v>
      </c>
      <c r="K80" s="14">
        <f t="shared" si="20"/>
        <v>42.341000000000001</v>
      </c>
      <c r="L80" s="18">
        <v>8697.9943999999996</v>
      </c>
      <c r="M80" s="18">
        <v>36.855800000000002</v>
      </c>
      <c r="N80" s="18">
        <v>40.7029</v>
      </c>
      <c r="O80" s="18">
        <v>41.707099999999997</v>
      </c>
      <c r="P80" s="16">
        <v>2374.71</v>
      </c>
      <c r="Q80" s="16">
        <v>39.257199999999997</v>
      </c>
      <c r="R80" s="16">
        <v>42.972299999999997</v>
      </c>
      <c r="S80" s="16">
        <v>42.875599999999999</v>
      </c>
      <c r="T80" s="16">
        <v>295.95299999999997</v>
      </c>
      <c r="U80" s="17"/>
      <c r="V80" s="18">
        <f t="shared" si="21"/>
        <v>8.2209166666666667E-2</v>
      </c>
      <c r="W80" s="21" t="str">
        <f t="shared" si="22"/>
        <v>!</v>
      </c>
      <c r="X80" s="16">
        <v>2651.7824999999998</v>
      </c>
      <c r="Y80" s="16">
        <v>38.266599999999997</v>
      </c>
      <c r="Z80" s="16">
        <v>42.815300000000001</v>
      </c>
      <c r="AA80" s="16">
        <v>42.341000000000001</v>
      </c>
      <c r="AB80" s="16">
        <v>19.375</v>
      </c>
      <c r="AC80" s="16"/>
      <c r="AD80" s="18">
        <f t="shared" si="23"/>
        <v>5.3819444444444444E-3</v>
      </c>
      <c r="AE80" s="22"/>
      <c r="AF80" s="22"/>
      <c r="AG80" s="22"/>
      <c r="AH80" s="19">
        <f t="shared" si="12"/>
        <v>6.5466476095866574E-2</v>
      </c>
    </row>
    <row r="81" spans="1:34" ht="12" thickBot="1">
      <c r="A81" s="20"/>
      <c r="B81" s="20"/>
      <c r="C81" s="20">
        <v>32</v>
      </c>
      <c r="D81" s="13">
        <f t="shared" si="13"/>
        <v>1320.3074999999999</v>
      </c>
      <c r="E81" s="13">
        <f t="shared" si="14"/>
        <v>40.659500000000001</v>
      </c>
      <c r="F81" s="13">
        <f t="shared" si="15"/>
        <v>1320.3074999999999</v>
      </c>
      <c r="G81" s="13">
        <f t="shared" si="16"/>
        <v>40.543900000000001</v>
      </c>
      <c r="H81" s="13">
        <f t="shared" si="17"/>
        <v>1359.0150000000001</v>
      </c>
      <c r="I81" s="13">
        <f t="shared" si="18"/>
        <v>40.6967</v>
      </c>
      <c r="J81" s="13">
        <f t="shared" si="19"/>
        <v>1359.0150000000001</v>
      </c>
      <c r="K81" s="14">
        <f t="shared" si="20"/>
        <v>39.822600000000001</v>
      </c>
      <c r="L81" s="18">
        <v>5363.6239999999998</v>
      </c>
      <c r="M81" s="18">
        <v>33.090200000000003</v>
      </c>
      <c r="N81" s="18">
        <v>39.058599999999998</v>
      </c>
      <c r="O81" s="18">
        <v>39.930199999999999</v>
      </c>
      <c r="P81" s="16">
        <v>1320.3074999999999</v>
      </c>
      <c r="Q81" s="16">
        <v>35.679900000000004</v>
      </c>
      <c r="R81" s="16">
        <v>40.659500000000001</v>
      </c>
      <c r="S81" s="16">
        <v>40.543900000000001</v>
      </c>
      <c r="T81" s="16">
        <v>244.03100000000001</v>
      </c>
      <c r="U81" s="17"/>
      <c r="V81" s="18">
        <f t="shared" si="21"/>
        <v>6.7786388888888896E-2</v>
      </c>
      <c r="W81" s="21" t="str">
        <f t="shared" si="22"/>
        <v>!</v>
      </c>
      <c r="X81" s="16">
        <v>1359.0150000000001</v>
      </c>
      <c r="Y81" s="16">
        <v>34.534199999999998</v>
      </c>
      <c r="Z81" s="16">
        <v>40.6967</v>
      </c>
      <c r="AA81" s="16">
        <v>39.822600000000001</v>
      </c>
      <c r="AB81" s="16">
        <v>13.484</v>
      </c>
      <c r="AC81" s="16"/>
      <c r="AD81" s="18">
        <f t="shared" si="23"/>
        <v>3.7455555555555554E-3</v>
      </c>
      <c r="AE81" s="22"/>
      <c r="AF81" s="22"/>
      <c r="AG81" s="22"/>
      <c r="AH81" s="19">
        <f t="shared" si="12"/>
        <v>5.5255274944576716E-2</v>
      </c>
    </row>
    <row r="82" spans="1:34" ht="12" thickBot="1">
      <c r="A82" s="20"/>
      <c r="B82" s="23"/>
      <c r="C82" s="23">
        <v>37</v>
      </c>
      <c r="D82" s="24">
        <f t="shared" si="13"/>
        <v>713.70749999999998</v>
      </c>
      <c r="E82" s="24">
        <f t="shared" si="14"/>
        <v>38.7119</v>
      </c>
      <c r="F82" s="24">
        <f t="shared" si="15"/>
        <v>713.70749999999998</v>
      </c>
      <c r="G82" s="24">
        <f t="shared" si="16"/>
        <v>38.452300000000001</v>
      </c>
      <c r="H82" s="24">
        <f t="shared" si="17"/>
        <v>668.20500000000004</v>
      </c>
      <c r="I82" s="24">
        <f t="shared" si="18"/>
        <v>38.566499999999998</v>
      </c>
      <c r="J82" s="24">
        <f t="shared" si="19"/>
        <v>668.20500000000004</v>
      </c>
      <c r="K82" s="25">
        <f t="shared" si="20"/>
        <v>37.3078</v>
      </c>
      <c r="L82" s="26">
        <v>3153.3847999999998</v>
      </c>
      <c r="M82" s="26">
        <v>29.5319</v>
      </c>
      <c r="N82" s="26">
        <v>37.829500000000003</v>
      </c>
      <c r="O82" s="26">
        <v>38.229999999999997</v>
      </c>
      <c r="P82" s="27">
        <v>713.70749999999998</v>
      </c>
      <c r="Q82" s="27">
        <v>32.190899999999999</v>
      </c>
      <c r="R82" s="27">
        <v>38.7119</v>
      </c>
      <c r="S82" s="27">
        <v>38.452300000000001</v>
      </c>
      <c r="T82" s="27">
        <v>204.328</v>
      </c>
      <c r="U82" s="28"/>
      <c r="V82" s="26">
        <f t="shared" si="21"/>
        <v>5.6757777777777782E-2</v>
      </c>
      <c r="W82" s="21" t="str">
        <f t="shared" si="22"/>
        <v>!</v>
      </c>
      <c r="X82" s="27">
        <v>668.20500000000004</v>
      </c>
      <c r="Y82" s="27">
        <v>31.244299999999999</v>
      </c>
      <c r="Z82" s="27">
        <v>38.566499999999998</v>
      </c>
      <c r="AA82" s="27">
        <v>37.3078</v>
      </c>
      <c r="AB82" s="27">
        <v>9.234</v>
      </c>
      <c r="AC82" s="27"/>
      <c r="AD82" s="26">
        <f t="shared" si="23"/>
        <v>2.565E-3</v>
      </c>
      <c r="AE82" s="23"/>
      <c r="AF82" s="23"/>
      <c r="AG82" s="23"/>
      <c r="AH82" s="19">
        <f t="shared" si="12"/>
        <v>4.5192044164284878E-2</v>
      </c>
    </row>
    <row r="83" spans="1:34" ht="12" thickBot="1">
      <c r="A83" s="20"/>
      <c r="B83" s="12" t="s">
        <v>80</v>
      </c>
      <c r="C83" s="12">
        <v>22</v>
      </c>
      <c r="D83" s="32">
        <f t="shared" si="13"/>
        <v>1568.1675</v>
      </c>
      <c r="E83" s="32">
        <f t="shared" si="14"/>
        <v>47.331600000000002</v>
      </c>
      <c r="F83" s="32">
        <f t="shared" si="15"/>
        <v>1568.1675</v>
      </c>
      <c r="G83" s="32">
        <f t="shared" si="16"/>
        <v>47.215600000000002</v>
      </c>
      <c r="H83" s="32">
        <f t="shared" si="17"/>
        <v>1211.6849999999999</v>
      </c>
      <c r="I83" s="32">
        <f t="shared" si="18"/>
        <v>46.981699999999996</v>
      </c>
      <c r="J83" s="32">
        <f t="shared" si="19"/>
        <v>1211.6849999999999</v>
      </c>
      <c r="K83" s="33">
        <f t="shared" si="20"/>
        <v>47.062800000000003</v>
      </c>
      <c r="L83" s="15">
        <v>11975.7464</v>
      </c>
      <c r="M83" s="15">
        <v>41.178100000000001</v>
      </c>
      <c r="N83" s="15">
        <v>42.177399999999999</v>
      </c>
      <c r="O83" s="15">
        <v>42.870100000000001</v>
      </c>
      <c r="P83" s="29">
        <v>1568.1675</v>
      </c>
      <c r="Q83" s="29">
        <v>48.641800000000003</v>
      </c>
      <c r="R83" s="29">
        <v>47.331600000000002</v>
      </c>
      <c r="S83" s="29">
        <v>47.215600000000002</v>
      </c>
      <c r="T83" s="29">
        <v>175.078</v>
      </c>
      <c r="U83" s="17"/>
      <c r="V83" s="15">
        <f t="shared" si="21"/>
        <v>4.8632777777777782E-2</v>
      </c>
      <c r="W83" s="21" t="str">
        <f t="shared" si="22"/>
        <v>!</v>
      </c>
      <c r="X83" s="29">
        <v>1211.6849999999999</v>
      </c>
      <c r="Y83" s="29">
        <v>48.952800000000003</v>
      </c>
      <c r="Z83" s="29">
        <v>46.981699999999996</v>
      </c>
      <c r="AA83" s="29">
        <v>47.062800000000003</v>
      </c>
      <c r="AB83" s="29">
        <v>9.4529999999999994</v>
      </c>
      <c r="AC83" s="29"/>
      <c r="AD83" s="15">
        <f t="shared" si="23"/>
        <v>2.6258333333333333E-3</v>
      </c>
      <c r="AE83" s="19">
        <f>RBJM($P83:$Q86,X83:Y86)</f>
        <v>-28.74533620378299</v>
      </c>
      <c r="AF83" s="19">
        <f>RBJM($D83:$E86,H83:I86)</f>
        <v>-24.006857467734278</v>
      </c>
      <c r="AG83" s="19">
        <f>RBJM($F83:$G86,J83:K86)</f>
        <v>-28.060890972213116</v>
      </c>
      <c r="AH83" s="19">
        <f t="shared" si="12"/>
        <v>5.3993077371228819E-2</v>
      </c>
    </row>
    <row r="84" spans="1:34" ht="12" thickBot="1">
      <c r="A84" s="20"/>
      <c r="B84" s="20" t="s">
        <v>84</v>
      </c>
      <c r="C84" s="20">
        <v>27</v>
      </c>
      <c r="D84" s="34">
        <f t="shared" si="13"/>
        <v>1172.4749999999999</v>
      </c>
      <c r="E84" s="34">
        <f t="shared" si="14"/>
        <v>43.154699999999998</v>
      </c>
      <c r="F84" s="34">
        <f t="shared" si="15"/>
        <v>1172.4749999999999</v>
      </c>
      <c r="G84" s="34">
        <f t="shared" si="16"/>
        <v>42.941800000000001</v>
      </c>
      <c r="H84" s="34">
        <f t="shared" si="17"/>
        <v>829.40250000000003</v>
      </c>
      <c r="I84" s="34">
        <f t="shared" si="18"/>
        <v>41.99</v>
      </c>
      <c r="J84" s="34">
        <f t="shared" si="19"/>
        <v>829.40250000000003</v>
      </c>
      <c r="K84" s="35">
        <f t="shared" si="20"/>
        <v>42.4011</v>
      </c>
      <c r="L84" s="18">
        <v>7372.7248</v>
      </c>
      <c r="M84" s="18">
        <v>36.759399999999999</v>
      </c>
      <c r="N84" s="18">
        <v>39.021599999999999</v>
      </c>
      <c r="O84" s="18">
        <v>39.531199999999998</v>
      </c>
      <c r="P84" s="16">
        <v>1172.4749999999999</v>
      </c>
      <c r="Q84" s="16">
        <v>44.481099999999998</v>
      </c>
      <c r="R84" s="16">
        <v>43.154699999999998</v>
      </c>
      <c r="S84" s="16">
        <v>42.941800000000001</v>
      </c>
      <c r="T84" s="16">
        <v>172.68799999999999</v>
      </c>
      <c r="U84" s="17"/>
      <c r="V84" s="18">
        <f t="shared" si="21"/>
        <v>4.7968888888888887E-2</v>
      </c>
      <c r="W84" s="21" t="str">
        <f t="shared" si="22"/>
        <v>!</v>
      </c>
      <c r="X84" s="16">
        <v>829.40250000000003</v>
      </c>
      <c r="Y84" s="16">
        <v>44.735100000000003</v>
      </c>
      <c r="Z84" s="16">
        <v>41.99</v>
      </c>
      <c r="AA84" s="16">
        <v>42.4011</v>
      </c>
      <c r="AB84" s="16">
        <v>8.266</v>
      </c>
      <c r="AC84" s="16"/>
      <c r="AD84" s="18">
        <f t="shared" si="23"/>
        <v>2.2961111111111112E-3</v>
      </c>
      <c r="AE84" s="22"/>
      <c r="AF84" s="22"/>
      <c r="AG84" s="22"/>
      <c r="AH84" s="19">
        <f t="shared" si="12"/>
        <v>4.7866672843509685E-2</v>
      </c>
    </row>
    <row r="85" spans="1:34" ht="12" thickBot="1">
      <c r="A85" s="20"/>
      <c r="B85" s="20"/>
      <c r="C85" s="20">
        <v>32</v>
      </c>
      <c r="D85" s="34">
        <f t="shared" si="13"/>
        <v>894.40499999999997</v>
      </c>
      <c r="E85" s="34">
        <f t="shared" si="14"/>
        <v>39.415399999999998</v>
      </c>
      <c r="F85" s="34">
        <f t="shared" si="15"/>
        <v>894.40499999999997</v>
      </c>
      <c r="G85" s="34">
        <f t="shared" si="16"/>
        <v>39.527700000000003</v>
      </c>
      <c r="H85" s="34">
        <f t="shared" si="17"/>
        <v>633.34500000000003</v>
      </c>
      <c r="I85" s="34">
        <f t="shared" si="18"/>
        <v>39.136099999999999</v>
      </c>
      <c r="J85" s="34">
        <f t="shared" si="19"/>
        <v>633.34500000000003</v>
      </c>
      <c r="K85" s="35">
        <f t="shared" si="20"/>
        <v>39.752600000000001</v>
      </c>
      <c r="L85" s="18">
        <v>4188.2056000000002</v>
      </c>
      <c r="M85" s="18">
        <v>32.823900000000002</v>
      </c>
      <c r="N85" s="18">
        <v>36.556399999999996</v>
      </c>
      <c r="O85" s="18">
        <v>37.008600000000001</v>
      </c>
      <c r="P85" s="16">
        <v>894.40499999999997</v>
      </c>
      <c r="Q85" s="16">
        <v>39.816800000000001</v>
      </c>
      <c r="R85" s="16">
        <v>39.415399999999998</v>
      </c>
      <c r="S85" s="16">
        <v>39.527700000000003</v>
      </c>
      <c r="T85" s="16">
        <v>171.125</v>
      </c>
      <c r="U85" s="17"/>
      <c r="V85" s="18">
        <f t="shared" si="21"/>
        <v>4.7534722222222221E-2</v>
      </c>
      <c r="W85" s="21" t="str">
        <f t="shared" si="22"/>
        <v>!</v>
      </c>
      <c r="X85" s="16">
        <v>633.34500000000003</v>
      </c>
      <c r="Y85" s="16">
        <v>39.6509</v>
      </c>
      <c r="Z85" s="16">
        <v>39.136099999999999</v>
      </c>
      <c r="AA85" s="16">
        <v>39.752600000000001</v>
      </c>
      <c r="AB85" s="16">
        <v>7.5469999999999997</v>
      </c>
      <c r="AC85" s="16"/>
      <c r="AD85" s="18">
        <f t="shared" si="23"/>
        <v>2.096388888888889E-3</v>
      </c>
      <c r="AE85" s="22"/>
      <c r="AF85" s="22"/>
      <c r="AG85" s="22"/>
      <c r="AH85" s="19">
        <f t="shared" si="12"/>
        <v>4.4102264426588753E-2</v>
      </c>
    </row>
    <row r="86" spans="1:34" ht="12" thickBot="1">
      <c r="A86" s="20"/>
      <c r="B86" s="23"/>
      <c r="C86" s="23">
        <v>37</v>
      </c>
      <c r="D86" s="36">
        <f t="shared" si="13"/>
        <v>650.68499999999995</v>
      </c>
      <c r="E86" s="36">
        <f t="shared" si="14"/>
        <v>37.917099999999998</v>
      </c>
      <c r="F86" s="36">
        <f t="shared" si="15"/>
        <v>650.68499999999995</v>
      </c>
      <c r="G86" s="36">
        <f t="shared" si="16"/>
        <v>37.3093</v>
      </c>
      <c r="H86" s="36">
        <f t="shared" si="17"/>
        <v>459.11250000000001</v>
      </c>
      <c r="I86" s="36">
        <f t="shared" si="18"/>
        <v>37.461599999999997</v>
      </c>
      <c r="J86" s="36">
        <f t="shared" si="19"/>
        <v>459.11250000000001</v>
      </c>
      <c r="K86" s="37">
        <f t="shared" si="20"/>
        <v>38.118299999999998</v>
      </c>
      <c r="L86" s="26">
        <v>2115.0304000000001</v>
      </c>
      <c r="M86" s="26">
        <v>29.266200000000001</v>
      </c>
      <c r="N86" s="26">
        <v>34.390500000000003</v>
      </c>
      <c r="O86" s="26">
        <v>34.862299999999998</v>
      </c>
      <c r="P86" s="27">
        <v>650.68499999999995</v>
      </c>
      <c r="Q86" s="27">
        <v>34.964700000000001</v>
      </c>
      <c r="R86" s="27">
        <v>37.917099999999998</v>
      </c>
      <c r="S86" s="27">
        <v>37.3093</v>
      </c>
      <c r="T86" s="27">
        <v>168.547</v>
      </c>
      <c r="U86" s="28"/>
      <c r="V86" s="26">
        <f t="shared" si="21"/>
        <v>4.6818611111111109E-2</v>
      </c>
      <c r="W86" s="21" t="str">
        <f t="shared" si="22"/>
        <v>!</v>
      </c>
      <c r="X86" s="27">
        <v>459.11250000000001</v>
      </c>
      <c r="Y86" s="27">
        <v>34.687199999999997</v>
      </c>
      <c r="Z86" s="27">
        <v>37.461599999999997</v>
      </c>
      <c r="AA86" s="27">
        <v>38.118299999999998</v>
      </c>
      <c r="AB86" s="27">
        <v>6.6559999999999997</v>
      </c>
      <c r="AC86" s="27"/>
      <c r="AD86" s="26">
        <f t="shared" si="23"/>
        <v>1.8488888888888888E-3</v>
      </c>
      <c r="AE86" s="23"/>
      <c r="AF86" s="23"/>
      <c r="AG86" s="23"/>
      <c r="AH86" s="19">
        <f t="shared" si="12"/>
        <v>3.9490468533999415E-2</v>
      </c>
    </row>
    <row r="87" spans="1:34" ht="12" thickBot="1">
      <c r="A87" s="20"/>
      <c r="B87" s="12" t="s">
        <v>81</v>
      </c>
      <c r="C87" s="12">
        <v>22</v>
      </c>
      <c r="D87" s="30">
        <f t="shared" si="13"/>
        <v>644.35</v>
      </c>
      <c r="E87" s="30">
        <f t="shared" si="14"/>
        <v>51.790599999999998</v>
      </c>
      <c r="F87" s="30">
        <f t="shared" si="15"/>
        <v>644.35</v>
      </c>
      <c r="G87" s="30">
        <f t="shared" si="16"/>
        <v>52.808799999999998</v>
      </c>
      <c r="H87" s="30">
        <f t="shared" si="17"/>
        <v>529.34</v>
      </c>
      <c r="I87" s="30">
        <f t="shared" si="18"/>
        <v>52.091299999999997</v>
      </c>
      <c r="J87" s="30">
        <f t="shared" si="19"/>
        <v>529.34</v>
      </c>
      <c r="K87" s="31">
        <f t="shared" si="20"/>
        <v>53.043399999999998</v>
      </c>
      <c r="L87" s="15">
        <v>4652.5663999999997</v>
      </c>
      <c r="M87" s="15">
        <v>42.672699999999999</v>
      </c>
      <c r="N87" s="15">
        <v>43.261600000000001</v>
      </c>
      <c r="O87" s="15">
        <v>44.022100000000002</v>
      </c>
      <c r="P87" s="29">
        <v>644.35</v>
      </c>
      <c r="Q87" s="29">
        <v>49.709200000000003</v>
      </c>
      <c r="R87" s="29">
        <v>51.790599999999998</v>
      </c>
      <c r="S87" s="29">
        <v>52.808799999999998</v>
      </c>
      <c r="T87" s="29">
        <v>243.625</v>
      </c>
      <c r="U87" s="17"/>
      <c r="V87" s="15">
        <f t="shared" si="21"/>
        <v>6.7673611111111115E-2</v>
      </c>
      <c r="W87" s="21" t="str">
        <f t="shared" si="22"/>
        <v>!</v>
      </c>
      <c r="X87" s="29">
        <v>529.34</v>
      </c>
      <c r="Y87" s="29">
        <v>49.9313</v>
      </c>
      <c r="Z87" s="29">
        <v>52.091299999999997</v>
      </c>
      <c r="AA87" s="29">
        <v>53.043399999999998</v>
      </c>
      <c r="AB87" s="29">
        <v>10.5</v>
      </c>
      <c r="AC87" s="29"/>
      <c r="AD87" s="15">
        <f t="shared" si="23"/>
        <v>2.9166666666666668E-3</v>
      </c>
      <c r="AE87" s="19">
        <f>RBJM($P87:$Q90,X87:Y90)</f>
        <v>-20.969360933832306</v>
      </c>
      <c r="AF87" s="19">
        <f>RBJM($D87:$E90,H87:I90)</f>
        <v>-20.304195916986099</v>
      </c>
      <c r="AG87" s="19">
        <f>RBJM($F87:$G90,J87:K90)</f>
        <v>-20.101447367595849</v>
      </c>
      <c r="AH87" s="19">
        <f t="shared" si="12"/>
        <v>4.3099025141098E-2</v>
      </c>
    </row>
    <row r="88" spans="1:34" ht="12" thickBot="1">
      <c r="A88" s="20"/>
      <c r="B88" s="20" t="s">
        <v>85</v>
      </c>
      <c r="C88" s="20">
        <v>27</v>
      </c>
      <c r="D88" s="13">
        <f t="shared" si="13"/>
        <v>409.40499999999997</v>
      </c>
      <c r="E88" s="13">
        <f t="shared" si="14"/>
        <v>48.771000000000001</v>
      </c>
      <c r="F88" s="13">
        <f t="shared" si="15"/>
        <v>409.40499999999997</v>
      </c>
      <c r="G88" s="13">
        <f t="shared" si="16"/>
        <v>49.803400000000003</v>
      </c>
      <c r="H88" s="13">
        <f t="shared" si="17"/>
        <v>310.565</v>
      </c>
      <c r="I88" s="13">
        <f t="shared" si="18"/>
        <v>48.595500000000001</v>
      </c>
      <c r="J88" s="13">
        <f t="shared" si="19"/>
        <v>310.565</v>
      </c>
      <c r="K88" s="14">
        <f t="shared" si="20"/>
        <v>49.496400000000001</v>
      </c>
      <c r="L88" s="18">
        <v>2822.5576000000001</v>
      </c>
      <c r="M88" s="18">
        <v>38.576799999999999</v>
      </c>
      <c r="N88" s="18">
        <v>39.889499999999998</v>
      </c>
      <c r="O88" s="18">
        <v>41.087800000000001</v>
      </c>
      <c r="P88" s="16">
        <v>409.40499999999997</v>
      </c>
      <c r="Q88" s="16">
        <v>46.164099999999998</v>
      </c>
      <c r="R88" s="16">
        <v>48.771000000000001</v>
      </c>
      <c r="S88" s="16">
        <v>49.803400000000003</v>
      </c>
      <c r="T88" s="16">
        <v>237.14099999999999</v>
      </c>
      <c r="U88" s="17"/>
      <c r="V88" s="18">
        <f t="shared" si="21"/>
        <v>6.58725E-2</v>
      </c>
      <c r="W88" s="21" t="str">
        <f t="shared" si="22"/>
        <v>!</v>
      </c>
      <c r="X88" s="16">
        <v>310.565</v>
      </c>
      <c r="Y88" s="16">
        <v>45.929900000000004</v>
      </c>
      <c r="Z88" s="16">
        <v>48.595500000000001</v>
      </c>
      <c r="AA88" s="16">
        <v>49.496400000000001</v>
      </c>
      <c r="AB88" s="16">
        <v>8.141</v>
      </c>
      <c r="AC88" s="16"/>
      <c r="AD88" s="18">
        <f t="shared" si="23"/>
        <v>2.2613888888888887E-3</v>
      </c>
      <c r="AE88" s="22"/>
      <c r="AF88" s="22"/>
      <c r="AG88" s="22"/>
      <c r="AH88" s="19">
        <f t="shared" si="12"/>
        <v>3.4329786920018049E-2</v>
      </c>
    </row>
    <row r="89" spans="1:34" ht="12" thickBot="1">
      <c r="A89" s="20"/>
      <c r="B89" s="20"/>
      <c r="C89" s="20">
        <v>32</v>
      </c>
      <c r="D89" s="13">
        <f t="shared" si="13"/>
        <v>278.72000000000003</v>
      </c>
      <c r="E89" s="13">
        <f t="shared" si="14"/>
        <v>45.951300000000003</v>
      </c>
      <c r="F89" s="13">
        <f t="shared" si="15"/>
        <v>278.72000000000003</v>
      </c>
      <c r="G89" s="13">
        <f t="shared" si="16"/>
        <v>47.307499999999997</v>
      </c>
      <c r="H89" s="13">
        <f t="shared" si="17"/>
        <v>206.3</v>
      </c>
      <c r="I89" s="13">
        <f t="shared" si="18"/>
        <v>45.210799999999999</v>
      </c>
      <c r="J89" s="13">
        <f t="shared" si="19"/>
        <v>206.3</v>
      </c>
      <c r="K89" s="14">
        <f t="shared" si="20"/>
        <v>46.884599999999999</v>
      </c>
      <c r="L89" s="18">
        <v>1560.1967999999999</v>
      </c>
      <c r="M89" s="18">
        <v>34.727699999999999</v>
      </c>
      <c r="N89" s="18">
        <v>37.406799999999997</v>
      </c>
      <c r="O89" s="18">
        <v>38.621000000000002</v>
      </c>
      <c r="P89" s="16">
        <v>278.72000000000003</v>
      </c>
      <c r="Q89" s="16">
        <v>42.970999999999997</v>
      </c>
      <c r="R89" s="16">
        <v>45.951300000000003</v>
      </c>
      <c r="S89" s="16">
        <v>47.307499999999997</v>
      </c>
      <c r="T89" s="16">
        <v>225.5</v>
      </c>
      <c r="U89" s="17"/>
      <c r="V89" s="18">
        <f t="shared" si="21"/>
        <v>6.2638888888888883E-2</v>
      </c>
      <c r="W89" s="21" t="str">
        <f t="shared" si="22"/>
        <v>!</v>
      </c>
      <c r="X89" s="16">
        <v>206.3</v>
      </c>
      <c r="Y89" s="16">
        <v>42.2669</v>
      </c>
      <c r="Z89" s="16">
        <v>45.210799999999999</v>
      </c>
      <c r="AA89" s="16">
        <v>46.884599999999999</v>
      </c>
      <c r="AB89" s="16">
        <v>6.5469999999999997</v>
      </c>
      <c r="AC89" s="16"/>
      <c r="AD89" s="18">
        <f t="shared" si="23"/>
        <v>1.8186111111111111E-3</v>
      </c>
      <c r="AE89" s="22"/>
      <c r="AF89" s="22"/>
      <c r="AG89" s="22"/>
      <c r="AH89" s="19">
        <f t="shared" si="12"/>
        <v>2.9033259423503325E-2</v>
      </c>
    </row>
    <row r="90" spans="1:34" ht="12" thickBot="1">
      <c r="A90" s="23"/>
      <c r="B90" s="23"/>
      <c r="C90" s="23">
        <v>37</v>
      </c>
      <c r="D90" s="38">
        <f t="shared" si="13"/>
        <v>196.345</v>
      </c>
      <c r="E90" s="38">
        <f t="shared" si="14"/>
        <v>44.4724</v>
      </c>
      <c r="F90" s="38">
        <f t="shared" si="15"/>
        <v>196.345</v>
      </c>
      <c r="G90" s="38">
        <f t="shared" si="16"/>
        <v>46.253599999999999</v>
      </c>
      <c r="H90" s="38">
        <f t="shared" si="17"/>
        <v>143.94499999999999</v>
      </c>
      <c r="I90" s="38">
        <f t="shared" si="18"/>
        <v>43.626899999999999</v>
      </c>
      <c r="J90" s="38">
        <f t="shared" si="19"/>
        <v>143.94499999999999</v>
      </c>
      <c r="K90" s="39">
        <f t="shared" si="20"/>
        <v>45.625399999999999</v>
      </c>
      <c r="L90" s="26">
        <v>768.26800000000003</v>
      </c>
      <c r="M90" s="26">
        <v>31.408999999999999</v>
      </c>
      <c r="N90" s="26">
        <v>35.030299999999997</v>
      </c>
      <c r="O90" s="26">
        <v>36.182299999999998</v>
      </c>
      <c r="P90" s="27">
        <v>196.345</v>
      </c>
      <c r="Q90" s="27">
        <v>39.405000000000001</v>
      </c>
      <c r="R90" s="27">
        <v>44.4724</v>
      </c>
      <c r="S90" s="27">
        <v>46.253599999999999</v>
      </c>
      <c r="T90" s="27">
        <v>216.078</v>
      </c>
      <c r="U90" s="28"/>
      <c r="V90" s="26">
        <f t="shared" si="21"/>
        <v>6.0021666666666668E-2</v>
      </c>
      <c r="W90" s="21" t="str">
        <f t="shared" si="22"/>
        <v>!</v>
      </c>
      <c r="X90" s="27">
        <v>143.94499999999999</v>
      </c>
      <c r="Y90" s="27">
        <v>38.521000000000001</v>
      </c>
      <c r="Z90" s="27">
        <v>43.626899999999999</v>
      </c>
      <c r="AA90" s="27">
        <v>45.625399999999999</v>
      </c>
      <c r="AB90" s="27">
        <v>5.5780000000000003</v>
      </c>
      <c r="AC90" s="27"/>
      <c r="AD90" s="26">
        <f t="shared" si="23"/>
        <v>1.5494444444444444E-3</v>
      </c>
      <c r="AE90" s="23"/>
      <c r="AF90" s="23"/>
      <c r="AG90" s="23"/>
      <c r="AH90" s="76">
        <f t="shared" ref="AH90:AH106" si="24">AB90/T90</f>
        <v>2.5814752080267313E-2</v>
      </c>
    </row>
    <row r="91" spans="1:34">
      <c r="B91" s="1" t="s">
        <v>15</v>
      </c>
      <c r="D91" s="40"/>
      <c r="E91" s="41"/>
      <c r="F91" s="41"/>
      <c r="G91" s="42"/>
      <c r="H91" s="42"/>
      <c r="I91" s="42"/>
      <c r="J91" s="42"/>
      <c r="K91" s="42"/>
      <c r="L91" s="42"/>
      <c r="M91" s="42"/>
      <c r="N91" s="42"/>
      <c r="O91" s="42"/>
      <c r="W91" s="43"/>
      <c r="AE91" s="44" t="e">
        <f>AVERAGE(AE3,AE7)</f>
        <v>#VALUE!</v>
      </c>
      <c r="AF91" s="44" t="e">
        <f>AVERAGE(AF3,AF7)</f>
        <v>#VALUE!</v>
      </c>
      <c r="AG91" s="44" t="e">
        <f>AVERAGE(AG3,AG7)</f>
        <v>#VALUE!</v>
      </c>
    </row>
    <row r="92" spans="1:34">
      <c r="B92" s="1" t="s">
        <v>21</v>
      </c>
      <c r="D92" s="45"/>
      <c r="E92" s="41"/>
      <c r="F92" s="41"/>
      <c r="G92" s="42"/>
      <c r="H92" s="42"/>
      <c r="I92" s="42"/>
      <c r="J92" s="42"/>
      <c r="K92" s="42"/>
      <c r="L92" s="42"/>
      <c r="M92" s="42"/>
      <c r="N92" s="42"/>
      <c r="O92" s="42"/>
      <c r="W92" s="43"/>
      <c r="AE92" s="44" t="e">
        <f>AVERAGE(AE11,AE15,AE19,AE23,AE27)</f>
        <v>#VALUE!</v>
      </c>
      <c r="AF92" s="44" t="e">
        <f>AVERAGE(AF11,AF15,AF19,AF23,AF27)</f>
        <v>#VALUE!</v>
      </c>
      <c r="AG92" s="44" t="e">
        <f>AVERAGE(AG11,AG15,AG19,AG23,AG27)</f>
        <v>#VALUE!</v>
      </c>
    </row>
    <row r="93" spans="1:34">
      <c r="B93" s="1" t="s">
        <v>33</v>
      </c>
      <c r="D93" s="45"/>
      <c r="E93" s="41"/>
      <c r="F93" s="41"/>
      <c r="G93" s="42"/>
      <c r="H93" s="42"/>
      <c r="I93" s="42"/>
      <c r="J93" s="42"/>
      <c r="K93" s="42"/>
      <c r="L93" s="42"/>
      <c r="M93" s="42"/>
      <c r="N93" s="42"/>
      <c r="O93" s="42"/>
      <c r="W93" s="43"/>
      <c r="AE93" s="44">
        <f>AVERAGE(AE31,AE35,AE39,AE43)</f>
        <v>-2.7640316001870868</v>
      </c>
      <c r="AF93" s="44">
        <f>AVERAGE(AF31,AF35,AF39,AF43)</f>
        <v>6.6185876913988864</v>
      </c>
      <c r="AG93" s="44">
        <f>AVERAGE(AG31,AG35,AG39,AG43)</f>
        <v>6.7048589645994552</v>
      </c>
    </row>
    <row r="94" spans="1:34">
      <c r="B94" s="1" t="s">
        <v>43</v>
      </c>
      <c r="D94" s="45"/>
      <c r="E94" s="41"/>
      <c r="F94" s="41"/>
      <c r="G94" s="42"/>
      <c r="H94" s="42"/>
      <c r="I94" s="42"/>
      <c r="J94" s="42"/>
      <c r="K94" s="42"/>
      <c r="L94" s="42"/>
      <c r="M94" s="42"/>
      <c r="N94" s="42"/>
      <c r="O94" s="42"/>
      <c r="W94" s="43"/>
      <c r="AE94" s="44">
        <f>AVERAGE(AE47,AE55,AE51,AE59)</f>
        <v>-0.36831199892450872</v>
      </c>
      <c r="AF94" s="44">
        <f>AVERAGE(AF47,AF55,AF51,AF59)</f>
        <v>9.8968239999015175</v>
      </c>
      <c r="AG94" s="44">
        <f>AVERAGE(AG47,AG55,AG51,AG59)</f>
        <v>10.80411503105881</v>
      </c>
    </row>
    <row r="95" spans="1:34">
      <c r="B95" s="1" t="s">
        <v>56</v>
      </c>
      <c r="D95" s="45"/>
      <c r="E95" s="41"/>
      <c r="F95" s="41"/>
      <c r="G95" s="42"/>
      <c r="H95" s="42"/>
      <c r="I95" s="42"/>
      <c r="J95" s="42"/>
      <c r="K95" s="42"/>
      <c r="L95" s="42"/>
      <c r="M95" s="42"/>
      <c r="N95" s="42"/>
      <c r="O95" s="42"/>
      <c r="W95" s="43"/>
      <c r="AE95" s="44">
        <f>AVERAGE(AE63,AE67,AE71)</f>
        <v>-8.353811609431645</v>
      </c>
      <c r="AF95" s="44">
        <f>AVERAGE(AF63,AF67,AF71)</f>
        <v>-12.514823911952371</v>
      </c>
      <c r="AG95" s="44">
        <f>AVERAGE(AG63,AG67,AG71)</f>
        <v>-13.91992468557803</v>
      </c>
    </row>
    <row r="96" spans="1:34">
      <c r="B96" s="1" t="s">
        <v>76</v>
      </c>
      <c r="D96" s="45"/>
      <c r="E96" s="41"/>
      <c r="F96" s="41"/>
      <c r="G96" s="42"/>
      <c r="H96" s="42"/>
      <c r="I96" s="42"/>
      <c r="J96" s="42"/>
      <c r="K96" s="42"/>
      <c r="L96" s="42"/>
      <c r="M96" s="42"/>
      <c r="N96" s="42"/>
      <c r="O96" s="42"/>
      <c r="W96" s="43"/>
      <c r="AE96" s="44">
        <f>AVERAGE(AE75,AE79,AE83,AE87)</f>
        <v>-7.6441573693278873</v>
      </c>
      <c r="AF96" s="44">
        <f t="shared" ref="AF96:AG96" si="25">AVERAGE(AF75,AF79,AF83,AF87)</f>
        <v>-8.8927685202135969</v>
      </c>
      <c r="AG96" s="44">
        <f t="shared" si="25"/>
        <v>-5.3922175383094579</v>
      </c>
    </row>
    <row r="97" spans="2:33">
      <c r="B97" s="69" t="s">
        <v>57</v>
      </c>
      <c r="C97" s="69"/>
      <c r="D97" s="70"/>
      <c r="E97" s="71"/>
      <c r="F97" s="72"/>
      <c r="G97" s="71"/>
      <c r="H97" s="71"/>
      <c r="I97" s="71"/>
      <c r="J97" s="71"/>
      <c r="K97" s="71"/>
      <c r="L97" s="71"/>
      <c r="M97" s="71"/>
      <c r="N97" s="71"/>
      <c r="O97" s="71"/>
      <c r="P97" s="69"/>
      <c r="Q97" s="69"/>
      <c r="R97" s="69"/>
      <c r="S97" s="69"/>
      <c r="T97" s="69"/>
      <c r="U97" s="69"/>
      <c r="V97" s="69"/>
      <c r="W97" s="73"/>
      <c r="X97" s="69"/>
      <c r="Y97" s="69"/>
      <c r="Z97" s="69"/>
      <c r="AA97" s="69"/>
      <c r="AB97" s="69"/>
      <c r="AC97" s="69"/>
      <c r="AD97" s="69"/>
      <c r="AE97" s="74" t="e">
        <f>AVERAGE(AE3,AE7,AE11,AE15,AE19,AE23,AE27,AE31,AE35,AE39,AE43,AE47,AE55,AE51,AE59,AE63,AE67,AE71)</f>
        <v>#VALUE!</v>
      </c>
      <c r="AF97" s="74" t="e">
        <f>AVERAGE(AF3,AF7,AF11,AF15,AF19,AF23,AF27,AF31,AF35,AF39,AF43,AF47,AF55,AF51,AF59,AF63,AF67,AF71)</f>
        <v>#VALUE!</v>
      </c>
      <c r="AG97" s="74" t="e">
        <f>AVERAGE(AG3,AG7,AG11,AG15,AG19,AG23,AG27,AG31,AG35,AG39,AG43,AG47,AG55,AG51,AG59,AG63,AG67,AG71)</f>
        <v>#VALUE!</v>
      </c>
    </row>
    <row r="98" spans="2:33">
      <c r="B98" s="69" t="s">
        <v>58</v>
      </c>
      <c r="C98" s="69"/>
      <c r="D98" s="70"/>
      <c r="E98" s="71"/>
      <c r="F98" s="72"/>
      <c r="G98" s="71"/>
      <c r="H98" s="71"/>
      <c r="I98" s="71"/>
      <c r="J98" s="71"/>
      <c r="K98" s="71"/>
      <c r="L98" s="71"/>
      <c r="M98" s="71"/>
      <c r="N98" s="71"/>
      <c r="O98" s="71"/>
      <c r="P98" s="69"/>
      <c r="Q98" s="69"/>
      <c r="R98" s="69"/>
      <c r="S98" s="69"/>
      <c r="T98" s="74"/>
      <c r="U98" s="74" t="e">
        <f>GEOMEAN(U3:U90)</f>
        <v>#NUM!</v>
      </c>
      <c r="V98" s="74" t="e">
        <f>GEOMEAN(V3:V90)</f>
        <v>#NUM!</v>
      </c>
      <c r="W98" s="74"/>
      <c r="X98" s="74"/>
      <c r="Y98" s="74"/>
      <c r="Z98" s="74"/>
      <c r="AA98" s="74"/>
      <c r="AB98" s="74"/>
      <c r="AC98" s="74" t="e">
        <f>GEOMEAN(AC3:AC74)</f>
        <v>#NUM!</v>
      </c>
      <c r="AD98" s="74" t="e">
        <f>GEOMEAN(AD3:AD74)</f>
        <v>#NUM!</v>
      </c>
      <c r="AE98" s="69"/>
      <c r="AF98" s="69"/>
      <c r="AG98" s="69"/>
    </row>
    <row r="99" spans="2:33">
      <c r="B99" s="69" t="s">
        <v>59</v>
      </c>
      <c r="C99" s="69"/>
      <c r="D99" s="70"/>
      <c r="E99" s="71"/>
      <c r="F99" s="72"/>
      <c r="G99" s="71"/>
      <c r="H99" s="71"/>
      <c r="I99" s="71"/>
      <c r="J99" s="71"/>
      <c r="K99" s="71"/>
      <c r="L99" s="71"/>
      <c r="M99" s="71"/>
      <c r="N99" s="71"/>
      <c r="O99" s="71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75"/>
      <c r="AC99" s="75" t="e">
        <f>AC98/U98</f>
        <v>#NUM!</v>
      </c>
      <c r="AD99" s="75" t="e">
        <f>AD98/V98</f>
        <v>#NUM!</v>
      </c>
      <c r="AE99" s="69"/>
      <c r="AF99" s="69"/>
      <c r="AG99" s="69"/>
    </row>
    <row r="100" spans="2:33">
      <c r="B100" s="69" t="s">
        <v>60</v>
      </c>
      <c r="C100" s="69"/>
      <c r="D100" s="70"/>
      <c r="E100" s="71"/>
      <c r="F100" s="72"/>
      <c r="G100" s="71"/>
      <c r="H100" s="71"/>
      <c r="I100" s="71"/>
      <c r="J100" s="71"/>
      <c r="K100" s="71"/>
      <c r="L100" s="71"/>
      <c r="M100" s="71"/>
      <c r="N100" s="71"/>
      <c r="O100" s="71"/>
      <c r="P100" s="69"/>
      <c r="Q100" s="69"/>
      <c r="R100" s="69"/>
      <c r="S100" s="69"/>
      <c r="T100" s="73"/>
      <c r="U100" s="73">
        <f>SUM(U3:U74)/3600</f>
        <v>0</v>
      </c>
      <c r="V100" s="73">
        <f>SUM(V3:V74)</f>
        <v>1.3925130555555554</v>
      </c>
      <c r="W100" s="69"/>
      <c r="X100" s="69"/>
      <c r="Y100" s="69"/>
      <c r="Z100" s="69"/>
      <c r="AA100" s="69"/>
      <c r="AB100" s="73"/>
      <c r="AC100" s="73">
        <f>SUM(AC3:AC74)/3600</f>
        <v>0</v>
      </c>
      <c r="AD100" s="73">
        <f>SUM(AD3:AD74)</f>
        <v>8.9409166666666692E-2</v>
      </c>
      <c r="AE100" s="69"/>
      <c r="AF100" s="69"/>
      <c r="AG100" s="69"/>
    </row>
    <row r="101" spans="2:33">
      <c r="B101" s="46" t="s">
        <v>86</v>
      </c>
      <c r="C101" s="46"/>
      <c r="D101" s="47"/>
      <c r="E101" s="48"/>
      <c r="F101" s="49"/>
      <c r="G101" s="48"/>
      <c r="H101" s="48"/>
      <c r="I101" s="48"/>
      <c r="J101" s="48"/>
      <c r="K101" s="48"/>
      <c r="L101" s="48"/>
      <c r="M101" s="48"/>
      <c r="N101" s="48"/>
      <c r="O101" s="48"/>
      <c r="P101" s="46"/>
      <c r="Q101" s="46"/>
      <c r="R101" s="46"/>
      <c r="S101" s="46"/>
      <c r="T101" s="46"/>
      <c r="U101" s="46"/>
      <c r="V101" s="46"/>
      <c r="W101" s="50"/>
      <c r="X101" s="46"/>
      <c r="Y101" s="46"/>
      <c r="Z101" s="46"/>
      <c r="AA101" s="46"/>
      <c r="AB101" s="46"/>
      <c r="AC101" s="46"/>
      <c r="AD101" s="46"/>
      <c r="AE101" s="51">
        <f>AVERAGE(AE31,AE35,AE39,AE43,AE47,AE51,AE59,AE55,AE63,AE67,AE71,AE75,AE79,AE83,AE87)</f>
        <v>-4.5444959134701914</v>
      </c>
      <c r="AF101" s="51">
        <f>AVERAGE(AF31,AF35,AF39,AF43,AF47,AF51,AF59,AF55,AF63,AF67,AF71,AF75,AF79,AF83,AF87)</f>
        <v>-0.47025993676732702</v>
      </c>
      <c r="AG101" s="51">
        <f>AVERAGE(AG31,AG35,AG39,AG43,AG47,AG51,AG59,AG55,AG63,AG67,AG71,AG75,AG79,AG83,AG87)</f>
        <v>0.44715011817740852</v>
      </c>
    </row>
    <row r="102" spans="2:33">
      <c r="B102" s="1" t="s">
        <v>58</v>
      </c>
      <c r="T102" s="44"/>
      <c r="U102" s="44" t="e">
        <f>GEOMEAN(U31:U90)</f>
        <v>#NUM!</v>
      </c>
      <c r="V102" s="44">
        <f>GEOMEAN(V31:V90)</f>
        <v>2.9345708370020901E-2</v>
      </c>
      <c r="W102" s="44"/>
      <c r="X102" s="44"/>
      <c r="Y102" s="44"/>
      <c r="Z102" s="44"/>
      <c r="AA102" s="44"/>
      <c r="AB102" s="44"/>
      <c r="AC102" s="44" t="e">
        <f>GEOMEAN(AC31:AC90)</f>
        <v>#NUM!</v>
      </c>
      <c r="AD102" s="44">
        <f>GEOMEAN(AD31:AD90)</f>
        <v>1.723787232945147E-3</v>
      </c>
    </row>
    <row r="103" spans="2:33">
      <c r="B103" s="1" t="s">
        <v>59</v>
      </c>
      <c r="AB103" s="55"/>
      <c r="AC103" s="55" t="e">
        <f>AC102/U102</f>
        <v>#NUM!</v>
      </c>
      <c r="AD103" s="55">
        <f>AD102/V102</f>
        <v>5.8740692547266639E-2</v>
      </c>
    </row>
    <row r="104" spans="2:33">
      <c r="B104" s="1" t="s">
        <v>60</v>
      </c>
      <c r="T104" s="43"/>
      <c r="U104" s="43">
        <f>SUM(U31:U90)/3600</f>
        <v>0</v>
      </c>
      <c r="V104" s="43">
        <f>SUM(V31:V90)</f>
        <v>2.2844099999999998</v>
      </c>
      <c r="AB104" s="43"/>
      <c r="AC104" s="43">
        <f>SUM(AC31:AC90)/3600</f>
        <v>0</v>
      </c>
      <c r="AD104" s="43">
        <f>SUM(AD31:AD90)</f>
        <v>0.13537694444444445</v>
      </c>
    </row>
  </sheetData>
  <mergeCells count="3">
    <mergeCell ref="L1:O1"/>
    <mergeCell ref="P1:W1"/>
    <mergeCell ref="X1:AE1"/>
  </mergeCells>
  <phoneticPr fontId="2" type="noConversion"/>
  <conditionalFormatting sqref="AE3:AG74 AE91:AG95 AE97:AG97">
    <cfRule type="cellIs" dxfId="23" priority="22" stopIfTrue="1" operator="between">
      <formula>-1</formula>
      <formula>1</formula>
    </cfRule>
    <cfRule type="cellIs" dxfId="22" priority="23" stopIfTrue="1" operator="lessThan">
      <formula>-3</formula>
    </cfRule>
    <cfRule type="cellIs" dxfId="21" priority="24" stopIfTrue="1" operator="greaterThan">
      <formula>3</formula>
    </cfRule>
  </conditionalFormatting>
  <conditionalFormatting sqref="AH3:AH6">
    <cfRule type="cellIs" dxfId="20" priority="19" stopIfTrue="1" operator="between">
      <formula>-1</formula>
      <formula>1</formula>
    </cfRule>
    <cfRule type="cellIs" dxfId="19" priority="20" stopIfTrue="1" operator="lessThan">
      <formula>-3</formula>
    </cfRule>
    <cfRule type="cellIs" dxfId="18" priority="21" stopIfTrue="1" operator="greaterThan">
      <formula>3</formula>
    </cfRule>
  </conditionalFormatting>
  <conditionalFormatting sqref="AH7:AH10">
    <cfRule type="cellIs" dxfId="17" priority="16" stopIfTrue="1" operator="between">
      <formula>-1</formula>
      <formula>1</formula>
    </cfRule>
    <cfRule type="cellIs" dxfId="16" priority="17" stopIfTrue="1" operator="lessThan">
      <formula>-3</formula>
    </cfRule>
    <cfRule type="cellIs" dxfId="15" priority="18" stopIfTrue="1" operator="greaterThan">
      <formula>3</formula>
    </cfRule>
  </conditionalFormatting>
  <conditionalFormatting sqref="AH11:AH74">
    <cfRule type="cellIs" dxfId="14" priority="13" stopIfTrue="1" operator="between">
      <formula>-1</formula>
      <formula>1</formula>
    </cfRule>
    <cfRule type="cellIs" dxfId="13" priority="14" stopIfTrue="1" operator="lessThan">
      <formula>-3</formula>
    </cfRule>
    <cfRule type="cellIs" dxfId="12" priority="15" stopIfTrue="1" operator="greaterThan">
      <formula>3</formula>
    </cfRule>
  </conditionalFormatting>
  <conditionalFormatting sqref="AE75:AG90">
    <cfRule type="cellIs" dxfId="11" priority="10" stopIfTrue="1" operator="between">
      <formula>-1</formula>
      <formula>1</formula>
    </cfRule>
    <cfRule type="cellIs" dxfId="10" priority="11" stopIfTrue="1" operator="lessThan">
      <formula>-3</formula>
    </cfRule>
    <cfRule type="cellIs" dxfId="9" priority="12" stopIfTrue="1" operator="greaterThan">
      <formula>3</formula>
    </cfRule>
  </conditionalFormatting>
  <conditionalFormatting sqref="AH75:AH90">
    <cfRule type="cellIs" dxfId="8" priority="7" stopIfTrue="1" operator="between">
      <formula>-1</formula>
      <formula>1</formula>
    </cfRule>
    <cfRule type="cellIs" dxfId="7" priority="8" stopIfTrue="1" operator="lessThan">
      <formula>-3</formula>
    </cfRule>
    <cfRule type="cellIs" dxfId="6" priority="9" stopIfTrue="1" operator="greaterThan">
      <formula>3</formula>
    </cfRule>
  </conditionalFormatting>
  <conditionalFormatting sqref="AE101:AG101">
    <cfRule type="cellIs" dxfId="5" priority="4" stopIfTrue="1" operator="between">
      <formula>-1</formula>
      <formula>1</formula>
    </cfRule>
    <cfRule type="cellIs" dxfId="4" priority="5" stopIfTrue="1" operator="lessThan">
      <formula>-3</formula>
    </cfRule>
    <cfRule type="cellIs" dxfId="3" priority="6" stopIfTrue="1" operator="greaterThan">
      <formula>3</formula>
    </cfRule>
  </conditionalFormatting>
  <conditionalFormatting sqref="AE96:AG96">
    <cfRule type="cellIs" dxfId="2" priority="1" stopIfTrue="1" operator="between">
      <formula>-1</formula>
      <formula>1</formula>
    </cfRule>
    <cfRule type="cellIs" dxfId="1" priority="2" stopIfTrue="1" operator="lessThan">
      <formula>-3</formula>
    </cfRule>
    <cfRule type="cellIs" dxfId="0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HM-VTM-RA</vt:lpstr>
      <vt:lpstr>HM-VVenC_Slow-RA</vt:lpstr>
      <vt:lpstr>HM-VVenC_Medium-RA</vt:lpstr>
      <vt:lpstr>HM-VVenC_Fast-RA</vt:lpstr>
      <vt:lpstr>HM-VVenC_Faster-RA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Qinghao Lin</dc:creator>
  <cp:lastModifiedBy>Qinghao Lin</cp:lastModifiedBy>
  <dcterms:created xsi:type="dcterms:W3CDTF">2021-05-24T06:55:58Z</dcterms:created>
  <dcterms:modified xsi:type="dcterms:W3CDTF">2021-05-26T09:46:00Z</dcterms:modified>
</cp:coreProperties>
</file>