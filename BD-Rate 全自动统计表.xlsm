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est_script\"/>
    </mc:Choice>
  </mc:AlternateContent>
  <xr:revisionPtr revIDLastSave="0" documentId="13_ncr:1_{1DF35A54-2C2B-47FE-9C49-1E20C23D9497}" xr6:coauthVersionLast="46" xr6:coauthVersionMax="46" xr10:uidLastSave="{00000000-0000-0000-0000-000000000000}"/>
  <bookViews>
    <workbookView xWindow="-120" yWindow="-120" windowWidth="29040" windowHeight="15840" activeTab="1" xr2:uid="{DCBFB499-ED80-4860-8390-E45CCA7E5B34}"/>
  </bookViews>
  <sheets>
    <sheet name="Summary" sheetId="2" r:id="rId1"/>
    <sheet name="Intra-VTM" sheetId="1" r:id="rId2"/>
    <sheet name="Intra-VVenC" sheetId="3" r:id="rId3"/>
  </sheets>
  <functionGroup name="Engineering"/>
  <functionGroup name="エンジニアリング"/>
  <functionGroup name="WebCab XL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4" i="2" l="1"/>
  <c r="D34" i="2"/>
  <c r="E33" i="2"/>
  <c r="D33" i="2"/>
  <c r="E30" i="2"/>
  <c r="D30" i="2"/>
  <c r="E29" i="2"/>
  <c r="D29" i="2"/>
  <c r="E26" i="2"/>
  <c r="D26" i="2"/>
  <c r="E25" i="2"/>
  <c r="E22" i="2"/>
  <c r="E21" i="2"/>
  <c r="D22" i="2"/>
  <c r="D21" i="2"/>
  <c r="E18" i="2"/>
  <c r="D18" i="2"/>
  <c r="D17" i="2"/>
  <c r="E17" i="2"/>
  <c r="O4" i="2"/>
  <c r="F4" i="2"/>
  <c r="AI3" i="1"/>
  <c r="L11" i="2"/>
  <c r="L10" i="2"/>
  <c r="N9" i="2"/>
  <c r="M9" i="2"/>
  <c r="L9" i="2"/>
  <c r="N8" i="2"/>
  <c r="M8" i="2"/>
  <c r="L8" i="2"/>
  <c r="N7" i="2"/>
  <c r="M7" i="2"/>
  <c r="L7" i="2"/>
  <c r="N6" i="2"/>
  <c r="M6" i="2"/>
  <c r="L6" i="2"/>
  <c r="N5" i="2"/>
  <c r="M5" i="2"/>
  <c r="L5" i="2"/>
  <c r="N4" i="2"/>
  <c r="M4" i="2"/>
  <c r="L4" i="2"/>
  <c r="E8" i="2"/>
  <c r="D8" i="2"/>
  <c r="C8" i="2"/>
  <c r="E7" i="2"/>
  <c r="D7" i="2"/>
  <c r="C7" i="2"/>
  <c r="E5" i="2"/>
  <c r="D5" i="2"/>
  <c r="C5" i="2"/>
  <c r="E4" i="2"/>
  <c r="D4" i="2"/>
  <c r="C4" i="2"/>
  <c r="AI79" i="3"/>
  <c r="AI78" i="3"/>
  <c r="AI77" i="3"/>
  <c r="AI76" i="3"/>
  <c r="AH74" i="3"/>
  <c r="AH73" i="3"/>
  <c r="AH72" i="3"/>
  <c r="AH71" i="3"/>
  <c r="AH70" i="3"/>
  <c r="AH69" i="3"/>
  <c r="AH68" i="3"/>
  <c r="AH67" i="3"/>
  <c r="AH66" i="3"/>
  <c r="AH65" i="3"/>
  <c r="AH64" i="3"/>
  <c r="AH63" i="3"/>
  <c r="AH79" i="3" s="1"/>
  <c r="AH62" i="3"/>
  <c r="AH61" i="3"/>
  <c r="AH60" i="3"/>
  <c r="AH59" i="3"/>
  <c r="AH58" i="3"/>
  <c r="AH57" i="3"/>
  <c r="AH56" i="3"/>
  <c r="AH55" i="3"/>
  <c r="AH54" i="3"/>
  <c r="AH53" i="3"/>
  <c r="AH52" i="3"/>
  <c r="AH51" i="3"/>
  <c r="AH50" i="3"/>
  <c r="AH49" i="3"/>
  <c r="AH48" i="3"/>
  <c r="AH47" i="3"/>
  <c r="AH78" i="3" s="1"/>
  <c r="AH46" i="3"/>
  <c r="AH45" i="3"/>
  <c r="AH44" i="3"/>
  <c r="AH43" i="3"/>
  <c r="AH42" i="3"/>
  <c r="AH41" i="3"/>
  <c r="AH40" i="3"/>
  <c r="AH39" i="3"/>
  <c r="AH38" i="3"/>
  <c r="AH37" i="3"/>
  <c r="AH36" i="3"/>
  <c r="AH35" i="3"/>
  <c r="AH34" i="3"/>
  <c r="AH33" i="3"/>
  <c r="AH32" i="3"/>
  <c r="AH31" i="3"/>
  <c r="AH77" i="3" s="1"/>
  <c r="AH30" i="3"/>
  <c r="AH29" i="3"/>
  <c r="AH28" i="3"/>
  <c r="AH27" i="3"/>
  <c r="AH26" i="3"/>
  <c r="AH25" i="3"/>
  <c r="AH24" i="3"/>
  <c r="AH23" i="3"/>
  <c r="AH22" i="3"/>
  <c r="AH21" i="3"/>
  <c r="AH20" i="3"/>
  <c r="AH19" i="3"/>
  <c r="AH18" i="3"/>
  <c r="AH17" i="3"/>
  <c r="AH16" i="3"/>
  <c r="AH15" i="3"/>
  <c r="AH14" i="3"/>
  <c r="AH13" i="3"/>
  <c r="AH12" i="3"/>
  <c r="AH11" i="3"/>
  <c r="AH76" i="3" s="1"/>
  <c r="AH10" i="3"/>
  <c r="AH9" i="3"/>
  <c r="AH8" i="3"/>
  <c r="AH7" i="3"/>
  <c r="AI3" i="3" s="1"/>
  <c r="AH6" i="3"/>
  <c r="AH5" i="3"/>
  <c r="AH4" i="3"/>
  <c r="AH3" i="3"/>
  <c r="AH80" i="3" s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22" i="1"/>
  <c r="AH23" i="1"/>
  <c r="AH24" i="1"/>
  <c r="AH25" i="1"/>
  <c r="AH15" i="1"/>
  <c r="AH16" i="1"/>
  <c r="AH17" i="1"/>
  <c r="AH18" i="1"/>
  <c r="AH19" i="1"/>
  <c r="AH20" i="1"/>
  <c r="AH21" i="1"/>
  <c r="AH14" i="1"/>
  <c r="AH13" i="1"/>
  <c r="AH12" i="1"/>
  <c r="AH11" i="1"/>
  <c r="AH10" i="1"/>
  <c r="AH9" i="1"/>
  <c r="AH8" i="1"/>
  <c r="AH7" i="1"/>
  <c r="AI76" i="1"/>
  <c r="AI79" i="1"/>
  <c r="AI78" i="1"/>
  <c r="AI77" i="1"/>
  <c r="AI80" i="1"/>
  <c r="AH5" i="1"/>
  <c r="AH6" i="1"/>
  <c r="AH4" i="1"/>
  <c r="AH3" i="1"/>
  <c r="AC83" i="3"/>
  <c r="U83" i="3"/>
  <c r="AC82" i="3"/>
  <c r="AC81" i="3"/>
  <c r="U81" i="3"/>
  <c r="AD74" i="3"/>
  <c r="W74" i="3"/>
  <c r="V74" i="3"/>
  <c r="K74" i="3"/>
  <c r="J74" i="3"/>
  <c r="I74" i="3"/>
  <c r="H74" i="3"/>
  <c r="G74" i="3"/>
  <c r="F74" i="3"/>
  <c r="E74" i="3"/>
  <c r="D74" i="3"/>
  <c r="AD73" i="3"/>
  <c r="W73" i="3"/>
  <c r="V73" i="3"/>
  <c r="K73" i="3"/>
  <c r="J73" i="3"/>
  <c r="I73" i="3"/>
  <c r="H73" i="3"/>
  <c r="G73" i="3"/>
  <c r="F73" i="3"/>
  <c r="E73" i="3"/>
  <c r="D73" i="3"/>
  <c r="AD72" i="3"/>
  <c r="W72" i="3"/>
  <c r="V72" i="3"/>
  <c r="K72" i="3"/>
  <c r="J72" i="3"/>
  <c r="I72" i="3"/>
  <c r="H72" i="3"/>
  <c r="G72" i="3"/>
  <c r="F72" i="3"/>
  <c r="E72" i="3"/>
  <c r="D72" i="3"/>
  <c r="AD71" i="3"/>
  <c r="W71" i="3"/>
  <c r="V71" i="3"/>
  <c r="K71" i="3"/>
  <c r="J71" i="3"/>
  <c r="I71" i="3"/>
  <c r="H71" i="3"/>
  <c r="G71" i="3"/>
  <c r="F71" i="3"/>
  <c r="E71" i="3"/>
  <c r="D71" i="3"/>
  <c r="AD70" i="3"/>
  <c r="W70" i="3"/>
  <c r="V70" i="3"/>
  <c r="K70" i="3"/>
  <c r="J70" i="3"/>
  <c r="I70" i="3"/>
  <c r="H70" i="3"/>
  <c r="G70" i="3"/>
  <c r="F70" i="3"/>
  <c r="E70" i="3"/>
  <c r="D70" i="3"/>
  <c r="AD69" i="3"/>
  <c r="W69" i="3"/>
  <c r="V69" i="3"/>
  <c r="K69" i="3"/>
  <c r="J69" i="3"/>
  <c r="I69" i="3"/>
  <c r="H69" i="3"/>
  <c r="G69" i="3"/>
  <c r="F69" i="3"/>
  <c r="E69" i="3"/>
  <c r="D69" i="3"/>
  <c r="AD68" i="3"/>
  <c r="W68" i="3"/>
  <c r="V68" i="3"/>
  <c r="K68" i="3"/>
  <c r="J68" i="3"/>
  <c r="I68" i="3"/>
  <c r="H68" i="3"/>
  <c r="G68" i="3"/>
  <c r="F68" i="3"/>
  <c r="E68" i="3"/>
  <c r="D68" i="3"/>
  <c r="AD67" i="3"/>
  <c r="W67" i="3"/>
  <c r="V67" i="3"/>
  <c r="K67" i="3"/>
  <c r="J67" i="3"/>
  <c r="I67" i="3"/>
  <c r="H67" i="3"/>
  <c r="G67" i="3"/>
  <c r="F67" i="3"/>
  <c r="E67" i="3"/>
  <c r="D67" i="3"/>
  <c r="AD66" i="3"/>
  <c r="W66" i="3"/>
  <c r="V66" i="3"/>
  <c r="K66" i="3"/>
  <c r="J66" i="3"/>
  <c r="I66" i="3"/>
  <c r="H66" i="3"/>
  <c r="G66" i="3"/>
  <c r="F66" i="3"/>
  <c r="E66" i="3"/>
  <c r="D66" i="3"/>
  <c r="AD65" i="3"/>
  <c r="W65" i="3"/>
  <c r="V65" i="3"/>
  <c r="K65" i="3"/>
  <c r="J65" i="3"/>
  <c r="I65" i="3"/>
  <c r="H65" i="3"/>
  <c r="G65" i="3"/>
  <c r="F65" i="3"/>
  <c r="E65" i="3"/>
  <c r="D65" i="3"/>
  <c r="AD64" i="3"/>
  <c r="W64" i="3"/>
  <c r="V64" i="3"/>
  <c r="K64" i="3"/>
  <c r="J64" i="3"/>
  <c r="I64" i="3"/>
  <c r="H64" i="3"/>
  <c r="G64" i="3"/>
  <c r="F64" i="3"/>
  <c r="E64" i="3"/>
  <c r="D64" i="3"/>
  <c r="AD63" i="3"/>
  <c r="W63" i="3"/>
  <c r="V63" i="3"/>
  <c r="K63" i="3"/>
  <c r="J63" i="3"/>
  <c r="I63" i="3"/>
  <c r="H63" i="3"/>
  <c r="G63" i="3"/>
  <c r="F63" i="3"/>
  <c r="E63" i="3"/>
  <c r="D63" i="3"/>
  <c r="AD62" i="3"/>
  <c r="W62" i="3"/>
  <c r="V62" i="3"/>
  <c r="K62" i="3"/>
  <c r="J62" i="3"/>
  <c r="I62" i="3"/>
  <c r="H62" i="3"/>
  <c r="G62" i="3"/>
  <c r="F62" i="3"/>
  <c r="E62" i="3"/>
  <c r="D62" i="3"/>
  <c r="AD61" i="3"/>
  <c r="W61" i="3"/>
  <c r="V61" i="3"/>
  <c r="K61" i="3"/>
  <c r="J61" i="3"/>
  <c r="I61" i="3"/>
  <c r="H61" i="3"/>
  <c r="G61" i="3"/>
  <c r="F61" i="3"/>
  <c r="E61" i="3"/>
  <c r="D61" i="3"/>
  <c r="AD60" i="3"/>
  <c r="W60" i="3"/>
  <c r="V60" i="3"/>
  <c r="K60" i="3"/>
  <c r="J60" i="3"/>
  <c r="I60" i="3"/>
  <c r="H60" i="3"/>
  <c r="G60" i="3"/>
  <c r="F60" i="3"/>
  <c r="E60" i="3"/>
  <c r="D60" i="3"/>
  <c r="AD59" i="3"/>
  <c r="W59" i="3"/>
  <c r="V59" i="3"/>
  <c r="K59" i="3"/>
  <c r="J59" i="3"/>
  <c r="I59" i="3"/>
  <c r="H59" i="3"/>
  <c r="G59" i="3"/>
  <c r="F59" i="3"/>
  <c r="E59" i="3"/>
  <c r="D59" i="3"/>
  <c r="AD58" i="3"/>
  <c r="W58" i="3"/>
  <c r="V58" i="3"/>
  <c r="K58" i="3"/>
  <c r="J58" i="3"/>
  <c r="I58" i="3"/>
  <c r="H58" i="3"/>
  <c r="G58" i="3"/>
  <c r="F58" i="3"/>
  <c r="E58" i="3"/>
  <c r="D58" i="3"/>
  <c r="AD57" i="3"/>
  <c r="W57" i="3"/>
  <c r="V57" i="3"/>
  <c r="K57" i="3"/>
  <c r="J57" i="3"/>
  <c r="I57" i="3"/>
  <c r="H57" i="3"/>
  <c r="G57" i="3"/>
  <c r="F57" i="3"/>
  <c r="E57" i="3"/>
  <c r="D57" i="3"/>
  <c r="AD56" i="3"/>
  <c r="W56" i="3"/>
  <c r="V56" i="3"/>
  <c r="K56" i="3"/>
  <c r="J56" i="3"/>
  <c r="I56" i="3"/>
  <c r="H56" i="3"/>
  <c r="G56" i="3"/>
  <c r="F56" i="3"/>
  <c r="E56" i="3"/>
  <c r="D56" i="3"/>
  <c r="AD55" i="3"/>
  <c r="W55" i="3"/>
  <c r="V55" i="3"/>
  <c r="K55" i="3"/>
  <c r="J55" i="3"/>
  <c r="I55" i="3"/>
  <c r="H55" i="3"/>
  <c r="G55" i="3"/>
  <c r="F55" i="3"/>
  <c r="E55" i="3"/>
  <c r="D55" i="3"/>
  <c r="AD54" i="3"/>
  <c r="W54" i="3"/>
  <c r="V54" i="3"/>
  <c r="K54" i="3"/>
  <c r="J54" i="3"/>
  <c r="I54" i="3"/>
  <c r="H54" i="3"/>
  <c r="G54" i="3"/>
  <c r="F54" i="3"/>
  <c r="E54" i="3"/>
  <c r="D54" i="3"/>
  <c r="AD53" i="3"/>
  <c r="W53" i="3"/>
  <c r="V53" i="3"/>
  <c r="K53" i="3"/>
  <c r="J53" i="3"/>
  <c r="I53" i="3"/>
  <c r="H53" i="3"/>
  <c r="G53" i="3"/>
  <c r="F53" i="3"/>
  <c r="E53" i="3"/>
  <c r="D53" i="3"/>
  <c r="AD52" i="3"/>
  <c r="W52" i="3"/>
  <c r="V52" i="3"/>
  <c r="K52" i="3"/>
  <c r="J52" i="3"/>
  <c r="I52" i="3"/>
  <c r="H52" i="3"/>
  <c r="G52" i="3"/>
  <c r="F52" i="3"/>
  <c r="E52" i="3"/>
  <c r="D52" i="3"/>
  <c r="AD51" i="3"/>
  <c r="W51" i="3"/>
  <c r="V51" i="3"/>
  <c r="K51" i="3"/>
  <c r="J51" i="3"/>
  <c r="I51" i="3"/>
  <c r="H51" i="3"/>
  <c r="G51" i="3"/>
  <c r="F51" i="3"/>
  <c r="E51" i="3"/>
  <c r="D51" i="3"/>
  <c r="AD50" i="3"/>
  <c r="W50" i="3"/>
  <c r="V50" i="3"/>
  <c r="K50" i="3"/>
  <c r="J50" i="3"/>
  <c r="I50" i="3"/>
  <c r="H50" i="3"/>
  <c r="G50" i="3"/>
  <c r="F50" i="3"/>
  <c r="E50" i="3"/>
  <c r="D50" i="3"/>
  <c r="AD49" i="3"/>
  <c r="W49" i="3"/>
  <c r="V49" i="3"/>
  <c r="K49" i="3"/>
  <c r="J49" i="3"/>
  <c r="I49" i="3"/>
  <c r="H49" i="3"/>
  <c r="G49" i="3"/>
  <c r="F49" i="3"/>
  <c r="E49" i="3"/>
  <c r="D49" i="3"/>
  <c r="AD48" i="3"/>
  <c r="W48" i="3"/>
  <c r="V48" i="3"/>
  <c r="K48" i="3"/>
  <c r="J48" i="3"/>
  <c r="I48" i="3"/>
  <c r="H48" i="3"/>
  <c r="G48" i="3"/>
  <c r="F48" i="3"/>
  <c r="E48" i="3"/>
  <c r="D48" i="3"/>
  <c r="AD47" i="3"/>
  <c r="W47" i="3"/>
  <c r="V47" i="3"/>
  <c r="K47" i="3"/>
  <c r="J47" i="3"/>
  <c r="I47" i="3"/>
  <c r="H47" i="3"/>
  <c r="G47" i="3"/>
  <c r="F47" i="3"/>
  <c r="E47" i="3"/>
  <c r="D47" i="3"/>
  <c r="AD46" i="3"/>
  <c r="W46" i="3"/>
  <c r="V46" i="3"/>
  <c r="K46" i="3"/>
  <c r="J46" i="3"/>
  <c r="I46" i="3"/>
  <c r="H46" i="3"/>
  <c r="G46" i="3"/>
  <c r="F46" i="3"/>
  <c r="E46" i="3"/>
  <c r="D46" i="3"/>
  <c r="AD45" i="3"/>
  <c r="W45" i="3"/>
  <c r="V45" i="3"/>
  <c r="K45" i="3"/>
  <c r="J45" i="3"/>
  <c r="I45" i="3"/>
  <c r="H45" i="3"/>
  <c r="G45" i="3"/>
  <c r="F45" i="3"/>
  <c r="E45" i="3"/>
  <c r="D45" i="3"/>
  <c r="AD44" i="3"/>
  <c r="W44" i="3"/>
  <c r="V44" i="3"/>
  <c r="K44" i="3"/>
  <c r="J44" i="3"/>
  <c r="I44" i="3"/>
  <c r="H44" i="3"/>
  <c r="G44" i="3"/>
  <c r="F44" i="3"/>
  <c r="E44" i="3"/>
  <c r="D44" i="3"/>
  <c r="AD43" i="3"/>
  <c r="W43" i="3"/>
  <c r="V43" i="3"/>
  <c r="K43" i="3"/>
  <c r="J43" i="3"/>
  <c r="I43" i="3"/>
  <c r="H43" i="3"/>
  <c r="G43" i="3"/>
  <c r="F43" i="3"/>
  <c r="E43" i="3"/>
  <c r="D43" i="3"/>
  <c r="AD42" i="3"/>
  <c r="W42" i="3"/>
  <c r="V42" i="3"/>
  <c r="K42" i="3"/>
  <c r="J42" i="3"/>
  <c r="I42" i="3"/>
  <c r="H42" i="3"/>
  <c r="G42" i="3"/>
  <c r="F42" i="3"/>
  <c r="E42" i="3"/>
  <c r="D42" i="3"/>
  <c r="AD41" i="3"/>
  <c r="W41" i="3"/>
  <c r="V41" i="3"/>
  <c r="K41" i="3"/>
  <c r="J41" i="3"/>
  <c r="I41" i="3"/>
  <c r="H41" i="3"/>
  <c r="G41" i="3"/>
  <c r="F41" i="3"/>
  <c r="E41" i="3"/>
  <c r="D41" i="3"/>
  <c r="AD40" i="3"/>
  <c r="W40" i="3"/>
  <c r="V40" i="3"/>
  <c r="K40" i="3"/>
  <c r="J40" i="3"/>
  <c r="I40" i="3"/>
  <c r="H40" i="3"/>
  <c r="G40" i="3"/>
  <c r="F40" i="3"/>
  <c r="E40" i="3"/>
  <c r="D40" i="3"/>
  <c r="AD39" i="3"/>
  <c r="W39" i="3"/>
  <c r="V39" i="3"/>
  <c r="K39" i="3"/>
  <c r="J39" i="3"/>
  <c r="I39" i="3"/>
  <c r="H39" i="3"/>
  <c r="G39" i="3"/>
  <c r="F39" i="3"/>
  <c r="E39" i="3"/>
  <c r="D39" i="3"/>
  <c r="AD38" i="3"/>
  <c r="W38" i="3"/>
  <c r="V38" i="3"/>
  <c r="K38" i="3"/>
  <c r="J38" i="3"/>
  <c r="I38" i="3"/>
  <c r="H38" i="3"/>
  <c r="G38" i="3"/>
  <c r="F38" i="3"/>
  <c r="E38" i="3"/>
  <c r="D38" i="3"/>
  <c r="AD37" i="3"/>
  <c r="W37" i="3"/>
  <c r="V37" i="3"/>
  <c r="K37" i="3"/>
  <c r="J37" i="3"/>
  <c r="I37" i="3"/>
  <c r="H37" i="3"/>
  <c r="G37" i="3"/>
  <c r="F37" i="3"/>
  <c r="E37" i="3"/>
  <c r="D37" i="3"/>
  <c r="AD36" i="3"/>
  <c r="W36" i="3"/>
  <c r="V36" i="3"/>
  <c r="K36" i="3"/>
  <c r="J36" i="3"/>
  <c r="I36" i="3"/>
  <c r="H36" i="3"/>
  <c r="G36" i="3"/>
  <c r="F36" i="3"/>
  <c r="E36" i="3"/>
  <c r="D36" i="3"/>
  <c r="AD35" i="3"/>
  <c r="W35" i="3"/>
  <c r="V35" i="3"/>
  <c r="K35" i="3"/>
  <c r="J35" i="3"/>
  <c r="I35" i="3"/>
  <c r="H35" i="3"/>
  <c r="G35" i="3"/>
  <c r="F35" i="3"/>
  <c r="E35" i="3"/>
  <c r="D35" i="3"/>
  <c r="AD34" i="3"/>
  <c r="W34" i="3"/>
  <c r="V34" i="3"/>
  <c r="K34" i="3"/>
  <c r="J34" i="3"/>
  <c r="I34" i="3"/>
  <c r="H34" i="3"/>
  <c r="G34" i="3"/>
  <c r="F34" i="3"/>
  <c r="E34" i="3"/>
  <c r="D34" i="3"/>
  <c r="AD33" i="3"/>
  <c r="W33" i="3"/>
  <c r="V33" i="3"/>
  <c r="K33" i="3"/>
  <c r="J33" i="3"/>
  <c r="I33" i="3"/>
  <c r="H33" i="3"/>
  <c r="G33" i="3"/>
  <c r="F33" i="3"/>
  <c r="E33" i="3"/>
  <c r="D33" i="3"/>
  <c r="AD32" i="3"/>
  <c r="W32" i="3"/>
  <c r="V32" i="3"/>
  <c r="K32" i="3"/>
  <c r="J32" i="3"/>
  <c r="I32" i="3"/>
  <c r="H32" i="3"/>
  <c r="G32" i="3"/>
  <c r="F32" i="3"/>
  <c r="E32" i="3"/>
  <c r="D32" i="3"/>
  <c r="AD31" i="3"/>
  <c r="W31" i="3"/>
  <c r="V31" i="3"/>
  <c r="K31" i="3"/>
  <c r="J31" i="3"/>
  <c r="I31" i="3"/>
  <c r="H31" i="3"/>
  <c r="G31" i="3"/>
  <c r="F31" i="3"/>
  <c r="E31" i="3"/>
  <c r="D31" i="3"/>
  <c r="AD30" i="3"/>
  <c r="W30" i="3"/>
  <c r="V30" i="3"/>
  <c r="K30" i="3"/>
  <c r="J30" i="3"/>
  <c r="I30" i="3"/>
  <c r="H30" i="3"/>
  <c r="G30" i="3"/>
  <c r="F30" i="3"/>
  <c r="E30" i="3"/>
  <c r="D30" i="3"/>
  <c r="AD29" i="3"/>
  <c r="W29" i="3"/>
  <c r="V29" i="3"/>
  <c r="K29" i="3"/>
  <c r="J29" i="3"/>
  <c r="I29" i="3"/>
  <c r="H29" i="3"/>
  <c r="G29" i="3"/>
  <c r="F29" i="3"/>
  <c r="E29" i="3"/>
  <c r="D29" i="3"/>
  <c r="AD28" i="3"/>
  <c r="W28" i="3"/>
  <c r="V28" i="3"/>
  <c r="K28" i="3"/>
  <c r="J28" i="3"/>
  <c r="I28" i="3"/>
  <c r="H28" i="3"/>
  <c r="G28" i="3"/>
  <c r="F28" i="3"/>
  <c r="E28" i="3"/>
  <c r="D28" i="3"/>
  <c r="AD27" i="3"/>
  <c r="W27" i="3"/>
  <c r="V27" i="3"/>
  <c r="K27" i="3"/>
  <c r="J27" i="3"/>
  <c r="I27" i="3"/>
  <c r="H27" i="3"/>
  <c r="G27" i="3"/>
  <c r="F27" i="3"/>
  <c r="E27" i="3"/>
  <c r="D27" i="3"/>
  <c r="AD26" i="3"/>
  <c r="W26" i="3"/>
  <c r="V26" i="3"/>
  <c r="K26" i="3"/>
  <c r="J26" i="3"/>
  <c r="I26" i="3"/>
  <c r="H26" i="3"/>
  <c r="G26" i="3"/>
  <c r="F26" i="3"/>
  <c r="E26" i="3"/>
  <c r="D26" i="3"/>
  <c r="AD25" i="3"/>
  <c r="W25" i="3"/>
  <c r="V25" i="3"/>
  <c r="K25" i="3"/>
  <c r="J25" i="3"/>
  <c r="I25" i="3"/>
  <c r="H25" i="3"/>
  <c r="G25" i="3"/>
  <c r="F25" i="3"/>
  <c r="E25" i="3"/>
  <c r="D25" i="3"/>
  <c r="AD24" i="3"/>
  <c r="W24" i="3"/>
  <c r="V24" i="3"/>
  <c r="K24" i="3"/>
  <c r="J24" i="3"/>
  <c r="I24" i="3"/>
  <c r="H24" i="3"/>
  <c r="G24" i="3"/>
  <c r="F24" i="3"/>
  <c r="E24" i="3"/>
  <c r="D24" i="3"/>
  <c r="AD23" i="3"/>
  <c r="W23" i="3"/>
  <c r="V23" i="3"/>
  <c r="K23" i="3"/>
  <c r="J23" i="3"/>
  <c r="I23" i="3"/>
  <c r="H23" i="3"/>
  <c r="G23" i="3"/>
  <c r="F23" i="3"/>
  <c r="E23" i="3"/>
  <c r="D23" i="3"/>
  <c r="AD22" i="3"/>
  <c r="W22" i="3"/>
  <c r="V22" i="3"/>
  <c r="K22" i="3"/>
  <c r="J22" i="3"/>
  <c r="I22" i="3"/>
  <c r="H22" i="3"/>
  <c r="G22" i="3"/>
  <c r="F22" i="3"/>
  <c r="E22" i="3"/>
  <c r="D22" i="3"/>
  <c r="AD21" i="3"/>
  <c r="W21" i="3"/>
  <c r="V21" i="3"/>
  <c r="K21" i="3"/>
  <c r="J21" i="3"/>
  <c r="I21" i="3"/>
  <c r="H21" i="3"/>
  <c r="G21" i="3"/>
  <c r="F21" i="3"/>
  <c r="E21" i="3"/>
  <c r="D21" i="3"/>
  <c r="AD20" i="3"/>
  <c r="W20" i="3"/>
  <c r="V20" i="3"/>
  <c r="K20" i="3"/>
  <c r="J20" i="3"/>
  <c r="I20" i="3"/>
  <c r="H20" i="3"/>
  <c r="G20" i="3"/>
  <c r="F20" i="3"/>
  <c r="E20" i="3"/>
  <c r="D20" i="3"/>
  <c r="AD19" i="3"/>
  <c r="W19" i="3"/>
  <c r="V19" i="3"/>
  <c r="K19" i="3"/>
  <c r="J19" i="3"/>
  <c r="I19" i="3"/>
  <c r="H19" i="3"/>
  <c r="G19" i="3"/>
  <c r="F19" i="3"/>
  <c r="E19" i="3"/>
  <c r="D19" i="3"/>
  <c r="AD18" i="3"/>
  <c r="W18" i="3"/>
  <c r="V18" i="3"/>
  <c r="K18" i="3"/>
  <c r="J18" i="3"/>
  <c r="I18" i="3"/>
  <c r="H18" i="3"/>
  <c r="G18" i="3"/>
  <c r="F18" i="3"/>
  <c r="E18" i="3"/>
  <c r="D18" i="3"/>
  <c r="AD17" i="3"/>
  <c r="W17" i="3"/>
  <c r="V17" i="3"/>
  <c r="K17" i="3"/>
  <c r="J17" i="3"/>
  <c r="I17" i="3"/>
  <c r="H17" i="3"/>
  <c r="G17" i="3"/>
  <c r="F17" i="3"/>
  <c r="E17" i="3"/>
  <c r="D17" i="3"/>
  <c r="AD16" i="3"/>
  <c r="W16" i="3"/>
  <c r="V16" i="3"/>
  <c r="K16" i="3"/>
  <c r="J16" i="3"/>
  <c r="I16" i="3"/>
  <c r="H16" i="3"/>
  <c r="G16" i="3"/>
  <c r="F16" i="3"/>
  <c r="E16" i="3"/>
  <c r="D16" i="3"/>
  <c r="AD15" i="3"/>
  <c r="W15" i="3"/>
  <c r="V15" i="3"/>
  <c r="K15" i="3"/>
  <c r="J15" i="3"/>
  <c r="I15" i="3"/>
  <c r="H15" i="3"/>
  <c r="G15" i="3"/>
  <c r="F15" i="3"/>
  <c r="E15" i="3"/>
  <c r="D15" i="3"/>
  <c r="AD14" i="3"/>
  <c r="W14" i="3"/>
  <c r="V14" i="3"/>
  <c r="K14" i="3"/>
  <c r="J14" i="3"/>
  <c r="I14" i="3"/>
  <c r="H14" i="3"/>
  <c r="G14" i="3"/>
  <c r="F14" i="3"/>
  <c r="E14" i="3"/>
  <c r="D14" i="3"/>
  <c r="AD13" i="3"/>
  <c r="W13" i="3"/>
  <c r="V13" i="3"/>
  <c r="K13" i="3"/>
  <c r="J13" i="3"/>
  <c r="I13" i="3"/>
  <c r="H13" i="3"/>
  <c r="G13" i="3"/>
  <c r="F13" i="3"/>
  <c r="E13" i="3"/>
  <c r="D13" i="3"/>
  <c r="AD12" i="3"/>
  <c r="W12" i="3"/>
  <c r="V12" i="3"/>
  <c r="K12" i="3"/>
  <c r="J12" i="3"/>
  <c r="I12" i="3"/>
  <c r="H12" i="3"/>
  <c r="G12" i="3"/>
  <c r="F12" i="3"/>
  <c r="E12" i="3"/>
  <c r="D12" i="3"/>
  <c r="AD11" i="3"/>
  <c r="W11" i="3"/>
  <c r="V11" i="3"/>
  <c r="K11" i="3"/>
  <c r="J11" i="3"/>
  <c r="I11" i="3"/>
  <c r="H11" i="3"/>
  <c r="G11" i="3"/>
  <c r="F11" i="3"/>
  <c r="E11" i="3"/>
  <c r="D11" i="3"/>
  <c r="AD10" i="3"/>
  <c r="W10" i="3"/>
  <c r="W2" i="3" s="1"/>
  <c r="V10" i="3"/>
  <c r="K10" i="3"/>
  <c r="J10" i="3"/>
  <c r="I10" i="3"/>
  <c r="H10" i="3"/>
  <c r="G10" i="3"/>
  <c r="F10" i="3"/>
  <c r="E10" i="3"/>
  <c r="D10" i="3"/>
  <c r="AD9" i="3"/>
  <c r="W9" i="3"/>
  <c r="V9" i="3"/>
  <c r="K9" i="3"/>
  <c r="J9" i="3"/>
  <c r="I9" i="3"/>
  <c r="H9" i="3"/>
  <c r="G9" i="3"/>
  <c r="F9" i="3"/>
  <c r="E9" i="3"/>
  <c r="D9" i="3"/>
  <c r="AD8" i="3"/>
  <c r="W8" i="3"/>
  <c r="V8" i="3"/>
  <c r="K8" i="3"/>
  <c r="J8" i="3"/>
  <c r="I8" i="3"/>
  <c r="H8" i="3"/>
  <c r="G8" i="3"/>
  <c r="F8" i="3"/>
  <c r="E8" i="3"/>
  <c r="D8" i="3"/>
  <c r="AD7" i="3"/>
  <c r="W7" i="3"/>
  <c r="V7" i="3"/>
  <c r="K7" i="3"/>
  <c r="J7" i="3"/>
  <c r="I7" i="3"/>
  <c r="H7" i="3"/>
  <c r="G7" i="3"/>
  <c r="F7" i="3"/>
  <c r="E7" i="3"/>
  <c r="D7" i="3"/>
  <c r="AD6" i="3"/>
  <c r="W6" i="3"/>
  <c r="V6" i="3"/>
  <c r="K6" i="3"/>
  <c r="J6" i="3"/>
  <c r="I6" i="3"/>
  <c r="H6" i="3"/>
  <c r="G6" i="3"/>
  <c r="F6" i="3"/>
  <c r="E6" i="3"/>
  <c r="D6" i="3"/>
  <c r="AD5" i="3"/>
  <c r="W5" i="3"/>
  <c r="V5" i="3"/>
  <c r="K5" i="3"/>
  <c r="J5" i="3"/>
  <c r="I5" i="3"/>
  <c r="H5" i="3"/>
  <c r="G5" i="3"/>
  <c r="F5" i="3"/>
  <c r="E5" i="3"/>
  <c r="D5" i="3"/>
  <c r="AD4" i="3"/>
  <c r="W4" i="3"/>
  <c r="V4" i="3"/>
  <c r="K4" i="3"/>
  <c r="J4" i="3"/>
  <c r="I4" i="3"/>
  <c r="H4" i="3"/>
  <c r="G4" i="3"/>
  <c r="F4" i="3"/>
  <c r="E4" i="3"/>
  <c r="D4" i="3"/>
  <c r="AD3" i="3"/>
  <c r="W3" i="3"/>
  <c r="V3" i="3"/>
  <c r="V81" i="3" s="1"/>
  <c r="K3" i="3"/>
  <c r="J3" i="3"/>
  <c r="I3" i="3"/>
  <c r="H3" i="3"/>
  <c r="G3" i="3"/>
  <c r="F3" i="3"/>
  <c r="E3" i="3"/>
  <c r="D3" i="3"/>
  <c r="K2" i="3"/>
  <c r="J2" i="3"/>
  <c r="I2" i="3"/>
  <c r="H2" i="3"/>
  <c r="G2" i="3"/>
  <c r="F2" i="3"/>
  <c r="E2" i="3"/>
  <c r="D2" i="3"/>
  <c r="AC83" i="1"/>
  <c r="U83" i="1"/>
  <c r="AC81" i="1"/>
  <c r="AC82" i="1" s="1"/>
  <c r="C11" i="2" s="1"/>
  <c r="U81" i="1"/>
  <c r="AD74" i="1"/>
  <c r="W74" i="1"/>
  <c r="V74" i="1"/>
  <c r="K74" i="1"/>
  <c r="J74" i="1"/>
  <c r="I74" i="1"/>
  <c r="H74" i="1"/>
  <c r="G74" i="1"/>
  <c r="F74" i="1"/>
  <c r="E74" i="1"/>
  <c r="D74" i="1"/>
  <c r="AD73" i="1"/>
  <c r="W73" i="1"/>
  <c r="V73" i="1"/>
  <c r="K73" i="1"/>
  <c r="J73" i="1"/>
  <c r="I73" i="1"/>
  <c r="H73" i="1"/>
  <c r="G73" i="1"/>
  <c r="F73" i="1"/>
  <c r="E73" i="1"/>
  <c r="D73" i="1"/>
  <c r="AD72" i="1"/>
  <c r="W72" i="1"/>
  <c r="V72" i="1"/>
  <c r="K72" i="1"/>
  <c r="J72" i="1"/>
  <c r="I72" i="1"/>
  <c r="H72" i="1"/>
  <c r="G72" i="1"/>
  <c r="F72" i="1"/>
  <c r="E72" i="1"/>
  <c r="D72" i="1"/>
  <c r="AD71" i="1"/>
  <c r="W71" i="1"/>
  <c r="V71" i="1"/>
  <c r="K71" i="1"/>
  <c r="J71" i="1"/>
  <c r="I71" i="1"/>
  <c r="H71" i="1"/>
  <c r="G71" i="1"/>
  <c r="F71" i="1"/>
  <c r="E71" i="1"/>
  <c r="D71" i="1"/>
  <c r="AD70" i="1"/>
  <c r="W70" i="1"/>
  <c r="V70" i="1"/>
  <c r="K70" i="1"/>
  <c r="J70" i="1"/>
  <c r="I70" i="1"/>
  <c r="H70" i="1"/>
  <c r="G70" i="1"/>
  <c r="F70" i="1"/>
  <c r="E70" i="1"/>
  <c r="D70" i="1"/>
  <c r="AD69" i="1"/>
  <c r="W69" i="1"/>
  <c r="V69" i="1"/>
  <c r="K69" i="1"/>
  <c r="J69" i="1"/>
  <c r="I69" i="1"/>
  <c r="H69" i="1"/>
  <c r="G69" i="1"/>
  <c r="F69" i="1"/>
  <c r="E69" i="1"/>
  <c r="D69" i="1"/>
  <c r="AD68" i="1"/>
  <c r="W68" i="1"/>
  <c r="V68" i="1"/>
  <c r="K68" i="1"/>
  <c r="J68" i="1"/>
  <c r="I68" i="1"/>
  <c r="H68" i="1"/>
  <c r="G68" i="1"/>
  <c r="F68" i="1"/>
  <c r="E68" i="1"/>
  <c r="D68" i="1"/>
  <c r="AD67" i="1"/>
  <c r="W67" i="1"/>
  <c r="V67" i="1"/>
  <c r="K67" i="1"/>
  <c r="J67" i="1"/>
  <c r="I67" i="1"/>
  <c r="H67" i="1"/>
  <c r="G67" i="1"/>
  <c r="F67" i="1"/>
  <c r="E67" i="1"/>
  <c r="D67" i="1"/>
  <c r="AD66" i="1"/>
  <c r="W66" i="1"/>
  <c r="V66" i="1"/>
  <c r="K66" i="1"/>
  <c r="J66" i="1"/>
  <c r="I66" i="1"/>
  <c r="H66" i="1"/>
  <c r="G66" i="1"/>
  <c r="F66" i="1"/>
  <c r="E66" i="1"/>
  <c r="D66" i="1"/>
  <c r="AD65" i="1"/>
  <c r="W65" i="1"/>
  <c r="V65" i="1"/>
  <c r="K65" i="1"/>
  <c r="J65" i="1"/>
  <c r="I65" i="1"/>
  <c r="H65" i="1"/>
  <c r="G65" i="1"/>
  <c r="F65" i="1"/>
  <c r="E65" i="1"/>
  <c r="D65" i="1"/>
  <c r="AD64" i="1"/>
  <c r="W64" i="1"/>
  <c r="V64" i="1"/>
  <c r="K64" i="1"/>
  <c r="J64" i="1"/>
  <c r="I64" i="1"/>
  <c r="H64" i="1"/>
  <c r="G64" i="1"/>
  <c r="F64" i="1"/>
  <c r="E64" i="1"/>
  <c r="D64" i="1"/>
  <c r="AD63" i="1"/>
  <c r="W63" i="1"/>
  <c r="V63" i="1"/>
  <c r="K63" i="1"/>
  <c r="J63" i="1"/>
  <c r="I63" i="1"/>
  <c r="H63" i="1"/>
  <c r="G63" i="1"/>
  <c r="F63" i="1"/>
  <c r="E63" i="1"/>
  <c r="D63" i="1"/>
  <c r="AD62" i="1"/>
  <c r="W62" i="1"/>
  <c r="V62" i="1"/>
  <c r="K62" i="1"/>
  <c r="J62" i="1"/>
  <c r="I62" i="1"/>
  <c r="H62" i="1"/>
  <c r="G62" i="1"/>
  <c r="F62" i="1"/>
  <c r="E62" i="1"/>
  <c r="D62" i="1"/>
  <c r="AD61" i="1"/>
  <c r="W61" i="1"/>
  <c r="V61" i="1"/>
  <c r="K61" i="1"/>
  <c r="J61" i="1"/>
  <c r="I61" i="1"/>
  <c r="H61" i="1"/>
  <c r="G61" i="1"/>
  <c r="F61" i="1"/>
  <c r="E61" i="1"/>
  <c r="D61" i="1"/>
  <c r="AD60" i="1"/>
  <c r="W60" i="1"/>
  <c r="V60" i="1"/>
  <c r="K60" i="1"/>
  <c r="J60" i="1"/>
  <c r="I60" i="1"/>
  <c r="H60" i="1"/>
  <c r="G60" i="1"/>
  <c r="F60" i="1"/>
  <c r="E60" i="1"/>
  <c r="D60" i="1"/>
  <c r="AD59" i="1"/>
  <c r="W59" i="1"/>
  <c r="V59" i="1"/>
  <c r="K59" i="1"/>
  <c r="J59" i="1"/>
  <c r="I59" i="1"/>
  <c r="H59" i="1"/>
  <c r="G59" i="1"/>
  <c r="F59" i="1"/>
  <c r="E59" i="1"/>
  <c r="D59" i="1"/>
  <c r="AD58" i="1"/>
  <c r="W58" i="1"/>
  <c r="V58" i="1"/>
  <c r="K58" i="1"/>
  <c r="J58" i="1"/>
  <c r="I58" i="1"/>
  <c r="H58" i="1"/>
  <c r="G58" i="1"/>
  <c r="F58" i="1"/>
  <c r="E58" i="1"/>
  <c r="D58" i="1"/>
  <c r="AD57" i="1"/>
  <c r="W57" i="1"/>
  <c r="V57" i="1"/>
  <c r="K57" i="1"/>
  <c r="J57" i="1"/>
  <c r="I57" i="1"/>
  <c r="H57" i="1"/>
  <c r="G57" i="1"/>
  <c r="F57" i="1"/>
  <c r="E57" i="1"/>
  <c r="D57" i="1"/>
  <c r="AD56" i="1"/>
  <c r="W56" i="1"/>
  <c r="V56" i="1"/>
  <c r="K56" i="1"/>
  <c r="J56" i="1"/>
  <c r="I56" i="1"/>
  <c r="H56" i="1"/>
  <c r="G56" i="1"/>
  <c r="F56" i="1"/>
  <c r="E56" i="1"/>
  <c r="D56" i="1"/>
  <c r="AD55" i="1"/>
  <c r="W55" i="1"/>
  <c r="V55" i="1"/>
  <c r="K55" i="1"/>
  <c r="J55" i="1"/>
  <c r="I55" i="1"/>
  <c r="H55" i="1"/>
  <c r="G55" i="1"/>
  <c r="F55" i="1"/>
  <c r="E55" i="1"/>
  <c r="D55" i="1"/>
  <c r="AD54" i="1"/>
  <c r="W54" i="1"/>
  <c r="V54" i="1"/>
  <c r="K54" i="1"/>
  <c r="J54" i="1"/>
  <c r="I54" i="1"/>
  <c r="H54" i="1"/>
  <c r="G54" i="1"/>
  <c r="F54" i="1"/>
  <c r="E54" i="1"/>
  <c r="D54" i="1"/>
  <c r="AD53" i="1"/>
  <c r="W53" i="1"/>
  <c r="V53" i="1"/>
  <c r="K53" i="1"/>
  <c r="J53" i="1"/>
  <c r="I53" i="1"/>
  <c r="H53" i="1"/>
  <c r="G53" i="1"/>
  <c r="F53" i="1"/>
  <c r="E53" i="1"/>
  <c r="D53" i="1"/>
  <c r="AD52" i="1"/>
  <c r="W52" i="1"/>
  <c r="V52" i="1"/>
  <c r="K52" i="1"/>
  <c r="J52" i="1"/>
  <c r="I52" i="1"/>
  <c r="H52" i="1"/>
  <c r="G52" i="1"/>
  <c r="F52" i="1"/>
  <c r="E52" i="1"/>
  <c r="D52" i="1"/>
  <c r="AD51" i="1"/>
  <c r="W51" i="1"/>
  <c r="V51" i="1"/>
  <c r="K51" i="1"/>
  <c r="J51" i="1"/>
  <c r="I51" i="1"/>
  <c r="H51" i="1"/>
  <c r="G51" i="1"/>
  <c r="F51" i="1"/>
  <c r="E51" i="1"/>
  <c r="D51" i="1"/>
  <c r="AD50" i="1"/>
  <c r="W50" i="1"/>
  <c r="V50" i="1"/>
  <c r="K50" i="1"/>
  <c r="J50" i="1"/>
  <c r="I50" i="1"/>
  <c r="H50" i="1"/>
  <c r="G50" i="1"/>
  <c r="F50" i="1"/>
  <c r="E50" i="1"/>
  <c r="D50" i="1"/>
  <c r="AD49" i="1"/>
  <c r="W49" i="1"/>
  <c r="V49" i="1"/>
  <c r="K49" i="1"/>
  <c r="J49" i="1"/>
  <c r="I49" i="1"/>
  <c r="H49" i="1"/>
  <c r="G49" i="1"/>
  <c r="F49" i="1"/>
  <c r="E49" i="1"/>
  <c r="D49" i="1"/>
  <c r="AD48" i="1"/>
  <c r="W48" i="1"/>
  <c r="V48" i="1"/>
  <c r="K48" i="1"/>
  <c r="J48" i="1"/>
  <c r="I48" i="1"/>
  <c r="H48" i="1"/>
  <c r="G48" i="1"/>
  <c r="F48" i="1"/>
  <c r="E48" i="1"/>
  <c r="D48" i="1"/>
  <c r="AD47" i="1"/>
  <c r="W47" i="1"/>
  <c r="V47" i="1"/>
  <c r="K47" i="1"/>
  <c r="J47" i="1"/>
  <c r="I47" i="1"/>
  <c r="H47" i="1"/>
  <c r="G47" i="1"/>
  <c r="F47" i="1"/>
  <c r="E47" i="1"/>
  <c r="D47" i="1"/>
  <c r="AD46" i="1"/>
  <c r="W46" i="1"/>
  <c r="V46" i="1"/>
  <c r="K46" i="1"/>
  <c r="J46" i="1"/>
  <c r="I46" i="1"/>
  <c r="H46" i="1"/>
  <c r="G46" i="1"/>
  <c r="F46" i="1"/>
  <c r="E46" i="1"/>
  <c r="D46" i="1"/>
  <c r="AD45" i="1"/>
  <c r="W45" i="1"/>
  <c r="V45" i="1"/>
  <c r="K45" i="1"/>
  <c r="J45" i="1"/>
  <c r="I45" i="1"/>
  <c r="H45" i="1"/>
  <c r="G45" i="1"/>
  <c r="F45" i="1"/>
  <c r="E45" i="1"/>
  <c r="D45" i="1"/>
  <c r="AD44" i="1"/>
  <c r="W44" i="1"/>
  <c r="V44" i="1"/>
  <c r="K44" i="1"/>
  <c r="J44" i="1"/>
  <c r="I44" i="1"/>
  <c r="H44" i="1"/>
  <c r="G44" i="1"/>
  <c r="F44" i="1"/>
  <c r="E44" i="1"/>
  <c r="D44" i="1"/>
  <c r="AD43" i="1"/>
  <c r="W43" i="1"/>
  <c r="V43" i="1"/>
  <c r="K43" i="1"/>
  <c r="J43" i="1"/>
  <c r="I43" i="1"/>
  <c r="H43" i="1"/>
  <c r="G43" i="1"/>
  <c r="F43" i="1"/>
  <c r="E43" i="1"/>
  <c r="D43" i="1"/>
  <c r="AD42" i="1"/>
  <c r="W42" i="1"/>
  <c r="V42" i="1"/>
  <c r="K42" i="1"/>
  <c r="J42" i="1"/>
  <c r="I42" i="1"/>
  <c r="H42" i="1"/>
  <c r="G42" i="1"/>
  <c r="F42" i="1"/>
  <c r="E42" i="1"/>
  <c r="D42" i="1"/>
  <c r="AD41" i="1"/>
  <c r="W41" i="1"/>
  <c r="V41" i="1"/>
  <c r="K41" i="1"/>
  <c r="J41" i="1"/>
  <c r="I41" i="1"/>
  <c r="H41" i="1"/>
  <c r="G41" i="1"/>
  <c r="F41" i="1"/>
  <c r="E41" i="1"/>
  <c r="D41" i="1"/>
  <c r="AD40" i="1"/>
  <c r="W40" i="1"/>
  <c r="V40" i="1"/>
  <c r="K40" i="1"/>
  <c r="J40" i="1"/>
  <c r="I40" i="1"/>
  <c r="H40" i="1"/>
  <c r="G40" i="1"/>
  <c r="F40" i="1"/>
  <c r="E40" i="1"/>
  <c r="D40" i="1"/>
  <c r="AD39" i="1"/>
  <c r="W39" i="1"/>
  <c r="V39" i="1"/>
  <c r="K39" i="1"/>
  <c r="J39" i="1"/>
  <c r="I39" i="1"/>
  <c r="H39" i="1"/>
  <c r="G39" i="1"/>
  <c r="F39" i="1"/>
  <c r="E39" i="1"/>
  <c r="D39" i="1"/>
  <c r="AD38" i="1"/>
  <c r="W38" i="1"/>
  <c r="V38" i="1"/>
  <c r="K38" i="1"/>
  <c r="J38" i="1"/>
  <c r="I38" i="1"/>
  <c r="H38" i="1"/>
  <c r="G38" i="1"/>
  <c r="F38" i="1"/>
  <c r="E38" i="1"/>
  <c r="D38" i="1"/>
  <c r="AD37" i="1"/>
  <c r="W37" i="1"/>
  <c r="V37" i="1"/>
  <c r="K37" i="1"/>
  <c r="J37" i="1"/>
  <c r="I37" i="1"/>
  <c r="H37" i="1"/>
  <c r="G37" i="1"/>
  <c r="F37" i="1"/>
  <c r="E37" i="1"/>
  <c r="D37" i="1"/>
  <c r="AD36" i="1"/>
  <c r="W36" i="1"/>
  <c r="V36" i="1"/>
  <c r="K36" i="1"/>
  <c r="J36" i="1"/>
  <c r="I36" i="1"/>
  <c r="H36" i="1"/>
  <c r="G36" i="1"/>
  <c r="F36" i="1"/>
  <c r="E36" i="1"/>
  <c r="D36" i="1"/>
  <c r="AD35" i="1"/>
  <c r="W35" i="1"/>
  <c r="V35" i="1"/>
  <c r="K35" i="1"/>
  <c r="J35" i="1"/>
  <c r="I35" i="1"/>
  <c r="H35" i="1"/>
  <c r="G35" i="1"/>
  <c r="F35" i="1"/>
  <c r="E35" i="1"/>
  <c r="D35" i="1"/>
  <c r="AD34" i="1"/>
  <c r="W34" i="1"/>
  <c r="V34" i="1"/>
  <c r="K34" i="1"/>
  <c r="J34" i="1"/>
  <c r="I34" i="1"/>
  <c r="H34" i="1"/>
  <c r="G34" i="1"/>
  <c r="F34" i="1"/>
  <c r="E34" i="1"/>
  <c r="D34" i="1"/>
  <c r="AD33" i="1"/>
  <c r="W33" i="1"/>
  <c r="V33" i="1"/>
  <c r="K33" i="1"/>
  <c r="J33" i="1"/>
  <c r="I33" i="1"/>
  <c r="H33" i="1"/>
  <c r="G33" i="1"/>
  <c r="F33" i="1"/>
  <c r="E33" i="1"/>
  <c r="D33" i="1"/>
  <c r="AD32" i="1"/>
  <c r="W32" i="1"/>
  <c r="V32" i="1"/>
  <c r="K32" i="1"/>
  <c r="J32" i="1"/>
  <c r="I32" i="1"/>
  <c r="H32" i="1"/>
  <c r="G32" i="1"/>
  <c r="F32" i="1"/>
  <c r="E32" i="1"/>
  <c r="D32" i="1"/>
  <c r="AD31" i="1"/>
  <c r="W31" i="1"/>
  <c r="V31" i="1"/>
  <c r="K31" i="1"/>
  <c r="J31" i="1"/>
  <c r="I31" i="1"/>
  <c r="H31" i="1"/>
  <c r="G31" i="1"/>
  <c r="F31" i="1"/>
  <c r="E31" i="1"/>
  <c r="D31" i="1"/>
  <c r="AD30" i="1"/>
  <c r="W30" i="1"/>
  <c r="V30" i="1"/>
  <c r="K30" i="1"/>
  <c r="J30" i="1"/>
  <c r="I30" i="1"/>
  <c r="H30" i="1"/>
  <c r="G30" i="1"/>
  <c r="F30" i="1"/>
  <c r="E30" i="1"/>
  <c r="D30" i="1"/>
  <c r="AD29" i="1"/>
  <c r="W29" i="1"/>
  <c r="V29" i="1"/>
  <c r="K29" i="1"/>
  <c r="J29" i="1"/>
  <c r="I29" i="1"/>
  <c r="H29" i="1"/>
  <c r="G29" i="1"/>
  <c r="F29" i="1"/>
  <c r="E29" i="1"/>
  <c r="D29" i="1"/>
  <c r="AD28" i="1"/>
  <c r="W28" i="1"/>
  <c r="V28" i="1"/>
  <c r="K28" i="1"/>
  <c r="J28" i="1"/>
  <c r="I28" i="1"/>
  <c r="H28" i="1"/>
  <c r="G28" i="1"/>
  <c r="F28" i="1"/>
  <c r="E28" i="1"/>
  <c r="D28" i="1"/>
  <c r="AD27" i="1"/>
  <c r="W27" i="1"/>
  <c r="V27" i="1"/>
  <c r="K27" i="1"/>
  <c r="J27" i="1"/>
  <c r="I27" i="1"/>
  <c r="H27" i="1"/>
  <c r="G27" i="1"/>
  <c r="F27" i="1"/>
  <c r="E27" i="1"/>
  <c r="D27" i="1"/>
  <c r="AD26" i="1"/>
  <c r="W26" i="1"/>
  <c r="V26" i="1"/>
  <c r="K26" i="1"/>
  <c r="J26" i="1"/>
  <c r="I26" i="1"/>
  <c r="H26" i="1"/>
  <c r="G26" i="1"/>
  <c r="F26" i="1"/>
  <c r="E26" i="1"/>
  <c r="D26" i="1"/>
  <c r="AD25" i="1"/>
  <c r="W25" i="1"/>
  <c r="V25" i="1"/>
  <c r="K25" i="1"/>
  <c r="J25" i="1"/>
  <c r="I25" i="1"/>
  <c r="H25" i="1"/>
  <c r="G25" i="1"/>
  <c r="F25" i="1"/>
  <c r="E25" i="1"/>
  <c r="D25" i="1"/>
  <c r="AD24" i="1"/>
  <c r="W24" i="1"/>
  <c r="V24" i="1"/>
  <c r="K24" i="1"/>
  <c r="J24" i="1"/>
  <c r="I24" i="1"/>
  <c r="H24" i="1"/>
  <c r="G24" i="1"/>
  <c r="F24" i="1"/>
  <c r="E24" i="1"/>
  <c r="D24" i="1"/>
  <c r="AD23" i="1"/>
  <c r="W23" i="1"/>
  <c r="V23" i="1"/>
  <c r="K23" i="1"/>
  <c r="J23" i="1"/>
  <c r="I23" i="1"/>
  <c r="H23" i="1"/>
  <c r="G23" i="1"/>
  <c r="F23" i="1"/>
  <c r="E23" i="1"/>
  <c r="D23" i="1"/>
  <c r="AD22" i="1"/>
  <c r="W22" i="1"/>
  <c r="V22" i="1"/>
  <c r="K22" i="1"/>
  <c r="J22" i="1"/>
  <c r="I22" i="1"/>
  <c r="H22" i="1"/>
  <c r="G22" i="1"/>
  <c r="F22" i="1"/>
  <c r="E22" i="1"/>
  <c r="D22" i="1"/>
  <c r="AD21" i="1"/>
  <c r="W21" i="1"/>
  <c r="V21" i="1"/>
  <c r="K21" i="1"/>
  <c r="J21" i="1"/>
  <c r="I21" i="1"/>
  <c r="H21" i="1"/>
  <c r="G21" i="1"/>
  <c r="F21" i="1"/>
  <c r="E21" i="1"/>
  <c r="D21" i="1"/>
  <c r="AD20" i="1"/>
  <c r="W20" i="1"/>
  <c r="V20" i="1"/>
  <c r="K20" i="1"/>
  <c r="J20" i="1"/>
  <c r="I20" i="1"/>
  <c r="H20" i="1"/>
  <c r="G20" i="1"/>
  <c r="F20" i="1"/>
  <c r="E20" i="1"/>
  <c r="D20" i="1"/>
  <c r="AD19" i="1"/>
  <c r="W19" i="1"/>
  <c r="V19" i="1"/>
  <c r="K19" i="1"/>
  <c r="J19" i="1"/>
  <c r="I19" i="1"/>
  <c r="H19" i="1"/>
  <c r="G19" i="1"/>
  <c r="F19" i="1"/>
  <c r="E19" i="1"/>
  <c r="D19" i="1"/>
  <c r="AD18" i="1"/>
  <c r="W18" i="1"/>
  <c r="V18" i="1"/>
  <c r="K18" i="1"/>
  <c r="J18" i="1"/>
  <c r="I18" i="1"/>
  <c r="H18" i="1"/>
  <c r="G18" i="1"/>
  <c r="F18" i="1"/>
  <c r="E18" i="1"/>
  <c r="D18" i="1"/>
  <c r="AD17" i="1"/>
  <c r="W17" i="1"/>
  <c r="V17" i="1"/>
  <c r="K17" i="1"/>
  <c r="J17" i="1"/>
  <c r="I17" i="1"/>
  <c r="H17" i="1"/>
  <c r="G17" i="1"/>
  <c r="F17" i="1"/>
  <c r="E17" i="1"/>
  <c r="D17" i="1"/>
  <c r="AD16" i="1"/>
  <c r="W16" i="1"/>
  <c r="V16" i="1"/>
  <c r="K16" i="1"/>
  <c r="J16" i="1"/>
  <c r="I16" i="1"/>
  <c r="H16" i="1"/>
  <c r="G16" i="1"/>
  <c r="F16" i="1"/>
  <c r="E16" i="1"/>
  <c r="D16" i="1"/>
  <c r="AD15" i="1"/>
  <c r="W15" i="1"/>
  <c r="V15" i="1"/>
  <c r="K15" i="1"/>
  <c r="J15" i="1"/>
  <c r="I15" i="1"/>
  <c r="H15" i="1"/>
  <c r="G15" i="1"/>
  <c r="F15" i="1"/>
  <c r="E15" i="1"/>
  <c r="D15" i="1"/>
  <c r="AD14" i="1"/>
  <c r="W14" i="1"/>
  <c r="V14" i="1"/>
  <c r="K14" i="1"/>
  <c r="J14" i="1"/>
  <c r="I14" i="1"/>
  <c r="H14" i="1"/>
  <c r="G14" i="1"/>
  <c r="F14" i="1"/>
  <c r="E14" i="1"/>
  <c r="D14" i="1"/>
  <c r="AD13" i="1"/>
  <c r="W13" i="1"/>
  <c r="V13" i="1"/>
  <c r="K13" i="1"/>
  <c r="J13" i="1"/>
  <c r="I13" i="1"/>
  <c r="H13" i="1"/>
  <c r="G13" i="1"/>
  <c r="F13" i="1"/>
  <c r="E13" i="1"/>
  <c r="D13" i="1"/>
  <c r="AD12" i="1"/>
  <c r="W12" i="1"/>
  <c r="V12" i="1"/>
  <c r="K12" i="1"/>
  <c r="J12" i="1"/>
  <c r="I12" i="1"/>
  <c r="H12" i="1"/>
  <c r="G12" i="1"/>
  <c r="F12" i="1"/>
  <c r="E12" i="1"/>
  <c r="D12" i="1"/>
  <c r="AD11" i="1"/>
  <c r="W11" i="1"/>
  <c r="V11" i="1"/>
  <c r="K11" i="1"/>
  <c r="J11" i="1"/>
  <c r="I11" i="1"/>
  <c r="H11" i="1"/>
  <c r="G11" i="1"/>
  <c r="F11" i="1"/>
  <c r="E11" i="1"/>
  <c r="D11" i="1"/>
  <c r="AD10" i="1"/>
  <c r="W10" i="1"/>
  <c r="V10" i="1"/>
  <c r="K10" i="1"/>
  <c r="J10" i="1"/>
  <c r="I10" i="1"/>
  <c r="H10" i="1"/>
  <c r="G10" i="1"/>
  <c r="F10" i="1"/>
  <c r="E10" i="1"/>
  <c r="D10" i="1"/>
  <c r="AD9" i="1"/>
  <c r="W9" i="1"/>
  <c r="V9" i="1"/>
  <c r="K9" i="1"/>
  <c r="J9" i="1"/>
  <c r="I9" i="1"/>
  <c r="H9" i="1"/>
  <c r="G9" i="1"/>
  <c r="F9" i="1"/>
  <c r="E9" i="1"/>
  <c r="D9" i="1"/>
  <c r="AD8" i="1"/>
  <c r="W8" i="1"/>
  <c r="V8" i="1"/>
  <c r="K8" i="1"/>
  <c r="J8" i="1"/>
  <c r="I8" i="1"/>
  <c r="H8" i="1"/>
  <c r="G8" i="1"/>
  <c r="F8" i="1"/>
  <c r="E8" i="1"/>
  <c r="D8" i="1"/>
  <c r="AD7" i="1"/>
  <c r="W7" i="1"/>
  <c r="V7" i="1"/>
  <c r="K7" i="1"/>
  <c r="J7" i="1"/>
  <c r="I7" i="1"/>
  <c r="H7" i="1"/>
  <c r="G7" i="1"/>
  <c r="F7" i="1"/>
  <c r="E7" i="1"/>
  <c r="D7" i="1"/>
  <c r="AD6" i="1"/>
  <c r="W6" i="1"/>
  <c r="V6" i="1"/>
  <c r="K6" i="1"/>
  <c r="J6" i="1"/>
  <c r="I6" i="1"/>
  <c r="H6" i="1"/>
  <c r="G6" i="1"/>
  <c r="F6" i="1"/>
  <c r="E6" i="1"/>
  <c r="D6" i="1"/>
  <c r="AD5" i="1"/>
  <c r="W5" i="1"/>
  <c r="V5" i="1"/>
  <c r="K5" i="1"/>
  <c r="J5" i="1"/>
  <c r="I5" i="1"/>
  <c r="H5" i="1"/>
  <c r="G5" i="1"/>
  <c r="F5" i="1"/>
  <c r="E5" i="1"/>
  <c r="D5" i="1"/>
  <c r="AD4" i="1"/>
  <c r="W4" i="1"/>
  <c r="V4" i="1"/>
  <c r="K4" i="1"/>
  <c r="J4" i="1"/>
  <c r="I4" i="1"/>
  <c r="H4" i="1"/>
  <c r="G4" i="1"/>
  <c r="F4" i="1"/>
  <c r="E4" i="1"/>
  <c r="D4" i="1"/>
  <c r="AD3" i="1"/>
  <c r="W3" i="1"/>
  <c r="V3" i="1"/>
  <c r="K3" i="1"/>
  <c r="J3" i="1"/>
  <c r="I3" i="1"/>
  <c r="H3" i="1"/>
  <c r="G3" i="1"/>
  <c r="F3" i="1"/>
  <c r="E3" i="1"/>
  <c r="D3" i="1"/>
  <c r="K2" i="1"/>
  <c r="J2" i="1"/>
  <c r="I2" i="1"/>
  <c r="H2" i="1"/>
  <c r="G2" i="1"/>
  <c r="F2" i="1"/>
  <c r="E2" i="1"/>
  <c r="D2" i="1"/>
  <c r="AG51" i="3"/>
  <c r="AF47" i="3"/>
  <c r="AE43" i="3"/>
  <c r="AG19" i="3"/>
  <c r="AF15" i="3"/>
  <c r="AE11" i="3"/>
  <c r="AG71" i="3"/>
  <c r="AG39" i="3"/>
  <c r="AE31" i="3"/>
  <c r="AG7" i="3"/>
  <c r="AG11" i="3"/>
  <c r="AG55" i="3"/>
  <c r="AF51" i="3"/>
  <c r="AE47" i="3"/>
  <c r="AG23" i="3"/>
  <c r="AF19" i="3"/>
  <c r="AE15" i="3"/>
  <c r="AG59" i="3"/>
  <c r="AF55" i="3"/>
  <c r="AE51" i="3"/>
  <c r="AG27" i="3"/>
  <c r="AF23" i="3"/>
  <c r="AE19" i="3"/>
  <c r="AF3" i="3"/>
  <c r="AG63" i="3"/>
  <c r="AF59" i="3"/>
  <c r="AE55" i="3"/>
  <c r="AG31" i="3"/>
  <c r="AF27" i="3"/>
  <c r="AE23" i="3"/>
  <c r="AF67" i="3"/>
  <c r="AF71" i="3"/>
  <c r="AF39" i="3"/>
  <c r="AF7" i="3"/>
  <c r="AG67" i="3"/>
  <c r="AF63" i="3"/>
  <c r="AE59" i="3"/>
  <c r="AG35" i="3"/>
  <c r="AF31" i="3"/>
  <c r="AE27" i="3"/>
  <c r="AG3" i="3"/>
  <c r="AF35" i="3"/>
  <c r="AE71" i="3"/>
  <c r="AG47" i="3"/>
  <c r="AF43" i="3"/>
  <c r="AE39" i="3"/>
  <c r="AG15" i="3"/>
  <c r="AF11" i="3"/>
  <c r="AE7" i="3"/>
  <c r="AE63" i="3"/>
  <c r="AE67" i="3"/>
  <c r="AG43" i="3"/>
  <c r="AE35" i="3"/>
  <c r="AE3" i="3"/>
  <c r="AE23" i="1"/>
  <c r="AG51" i="1"/>
  <c r="AF47" i="1"/>
  <c r="AE43" i="1"/>
  <c r="AG19" i="1"/>
  <c r="AF15" i="1"/>
  <c r="AE11" i="1"/>
  <c r="AG11" i="1"/>
  <c r="AE3" i="1"/>
  <c r="AG55" i="1"/>
  <c r="AF51" i="1"/>
  <c r="AE47" i="1"/>
  <c r="AG23" i="1"/>
  <c r="AF19" i="1"/>
  <c r="AE15" i="1"/>
  <c r="AF39" i="1"/>
  <c r="AG59" i="1"/>
  <c r="AF55" i="1"/>
  <c r="AE51" i="1"/>
  <c r="AG27" i="1"/>
  <c r="AF23" i="1"/>
  <c r="AE19" i="1"/>
  <c r="AG63" i="1"/>
  <c r="AF59" i="1"/>
  <c r="AE55" i="1"/>
  <c r="AG31" i="1"/>
  <c r="AF27" i="1"/>
  <c r="AE67" i="1"/>
  <c r="AF7" i="1"/>
  <c r="AG67" i="1"/>
  <c r="AF63" i="1"/>
  <c r="AE59" i="1"/>
  <c r="AG35" i="1"/>
  <c r="AF31" i="1"/>
  <c r="AE27" i="1"/>
  <c r="AG3" i="1"/>
  <c r="AG71" i="1"/>
  <c r="AF67" i="1"/>
  <c r="AE63" i="1"/>
  <c r="AG39" i="1"/>
  <c r="AF35" i="1"/>
  <c r="AE31" i="1"/>
  <c r="AG7" i="1"/>
  <c r="AF3" i="1"/>
  <c r="AG43" i="1"/>
  <c r="AE35" i="1"/>
  <c r="AF71" i="1"/>
  <c r="AE71" i="1"/>
  <c r="AG47" i="1"/>
  <c r="AF43" i="1"/>
  <c r="AE39" i="1"/>
  <c r="AG15" i="1"/>
  <c r="AF11" i="1"/>
  <c r="AE7" i="1"/>
  <c r="AI80" i="3" l="1"/>
  <c r="AI75" i="3"/>
  <c r="AH75" i="3"/>
  <c r="AI75" i="1"/>
  <c r="AH80" i="1"/>
  <c r="AH75" i="1"/>
  <c r="AH76" i="1"/>
  <c r="AH78" i="1"/>
  <c r="AH77" i="1"/>
  <c r="AH79" i="1"/>
  <c r="AD81" i="3"/>
  <c r="AD82" i="3" s="1"/>
  <c r="AD83" i="3"/>
  <c r="AE76" i="1"/>
  <c r="AE75" i="3"/>
  <c r="AE80" i="3"/>
  <c r="AE79" i="3"/>
  <c r="AF76" i="3"/>
  <c r="AG78" i="3"/>
  <c r="AG75" i="3"/>
  <c r="AG80" i="3"/>
  <c r="AF77" i="3"/>
  <c r="AF79" i="3"/>
  <c r="AG77" i="3"/>
  <c r="AG79" i="3"/>
  <c r="AF75" i="3"/>
  <c r="AF80" i="3"/>
  <c r="AE78" i="3"/>
  <c r="AG76" i="3"/>
  <c r="AE77" i="3"/>
  <c r="AE76" i="3"/>
  <c r="AF78" i="3"/>
  <c r="V83" i="3"/>
  <c r="V81" i="1"/>
  <c r="W2" i="1"/>
  <c r="AD83" i="1"/>
  <c r="AF76" i="1"/>
  <c r="AG78" i="1"/>
  <c r="AF75" i="1"/>
  <c r="AF80" i="1"/>
  <c r="D9" i="2" s="1"/>
  <c r="AE77" i="1"/>
  <c r="C6" i="2" s="1"/>
  <c r="D25" i="2" s="1"/>
  <c r="AE79" i="1"/>
  <c r="AG75" i="1"/>
  <c r="AG80" i="1"/>
  <c r="E9" i="2" s="1"/>
  <c r="AF77" i="1"/>
  <c r="D6" i="2" s="1"/>
  <c r="AF79" i="1"/>
  <c r="AG77" i="1"/>
  <c r="E6" i="2" s="1"/>
  <c r="AG79" i="1"/>
  <c r="AE78" i="1"/>
  <c r="AE75" i="1"/>
  <c r="AE80" i="1"/>
  <c r="C9" i="2" s="1"/>
  <c r="AG76" i="1"/>
  <c r="AF78" i="1"/>
  <c r="AD81" i="1"/>
  <c r="V83" i="1"/>
  <c r="AD82" i="1" l="1"/>
  <c r="C10" i="2" s="1"/>
</calcChain>
</file>

<file path=xl/sharedStrings.xml><?xml version="1.0" encoding="utf-8"?>
<sst xmlns="http://schemas.openxmlformats.org/spreadsheetml/2006/main" count="245" uniqueCount="99">
  <si>
    <t>ref</t>
    <phoneticPr fontId="5" type="noConversion"/>
  </si>
  <si>
    <t>comp</t>
    <phoneticPr fontId="5" type="noConversion"/>
  </si>
  <si>
    <t>TMuC 0.7 DCM/Ericsson</t>
  </si>
  <si>
    <t>QPISlice</t>
  </si>
  <si>
    <t>kbps</t>
  </si>
  <si>
    <t>Y psnr</t>
  </si>
  <si>
    <t>U psnr</t>
  </si>
  <si>
    <t>V psnr</t>
  </si>
  <si>
    <t>Enc T [s]</t>
  </si>
  <si>
    <t>Dec T [s]</t>
  </si>
  <si>
    <t>Enc T [h]</t>
  </si>
  <si>
    <t>Enc T</t>
  </si>
  <si>
    <t>BD-rate Y</t>
    <phoneticPr fontId="5" type="noConversion"/>
  </si>
  <si>
    <t>BD-rate U</t>
    <phoneticPr fontId="5" type="noConversion"/>
  </si>
  <si>
    <t>BD-rate V</t>
    <phoneticPr fontId="5" type="noConversion"/>
  </si>
  <si>
    <t>Class A</t>
  </si>
  <si>
    <t>S01</t>
  </si>
  <si>
    <t>4K</t>
  </si>
  <si>
    <t>Traffic</t>
  </si>
  <si>
    <t>S02</t>
  </si>
  <si>
    <t>PeopleOnStreet</t>
  </si>
  <si>
    <t>Class B</t>
  </si>
  <si>
    <t>S03</t>
  </si>
  <si>
    <t>1080p</t>
  </si>
  <si>
    <t>Kimono</t>
  </si>
  <si>
    <t>S04</t>
  </si>
  <si>
    <t>ParkScene</t>
  </si>
  <si>
    <t>S05</t>
  </si>
  <si>
    <t>Cactus</t>
  </si>
  <si>
    <t>S06</t>
  </si>
  <si>
    <t>BasketballDrive</t>
  </si>
  <si>
    <t>S07</t>
  </si>
  <si>
    <t>BQTerrace</t>
  </si>
  <si>
    <t>Class C</t>
  </si>
  <si>
    <t>S08</t>
  </si>
  <si>
    <t>WVGA</t>
  </si>
  <si>
    <t>BasketballDrill</t>
  </si>
  <si>
    <t>S09</t>
  </si>
  <si>
    <t>BQMall</t>
  </si>
  <si>
    <t>S10</t>
  </si>
  <si>
    <t>PartyScene</t>
  </si>
  <si>
    <t>S11</t>
  </si>
  <si>
    <t>RaceHorses</t>
  </si>
  <si>
    <t>Class D</t>
  </si>
  <si>
    <t>S12</t>
  </si>
  <si>
    <t>WQVGA</t>
  </si>
  <si>
    <t>BasketballPass</t>
  </si>
  <si>
    <t>S13</t>
  </si>
  <si>
    <t>BQSquare</t>
  </si>
  <si>
    <t>S14</t>
  </si>
  <si>
    <t>BlowingBubbles</t>
  </si>
  <si>
    <t>S15</t>
  </si>
  <si>
    <t>ClassE</t>
  </si>
  <si>
    <t>S16</t>
  </si>
  <si>
    <t>720p</t>
    <phoneticPr fontId="5" type="noConversion"/>
  </si>
  <si>
    <t>Vidyo1</t>
  </si>
  <si>
    <t>S17</t>
  </si>
  <si>
    <t>Vidyo3</t>
  </si>
  <si>
    <t>S18</t>
  </si>
  <si>
    <t>Vidyo4</t>
  </si>
  <si>
    <t>Class E</t>
  </si>
  <si>
    <t>All</t>
  </si>
  <si>
    <t>Time geomean</t>
  </si>
  <si>
    <t>Time ratio</t>
  </si>
  <si>
    <t>Time sum (hours)</t>
  </si>
  <si>
    <t>HEVC</t>
    <phoneticPr fontId="2" type="noConversion"/>
  </si>
  <si>
    <t>Y BD-rate</t>
  </si>
  <si>
    <t>U BD-rate</t>
  </si>
  <si>
    <t>V BD-rate</t>
  </si>
  <si>
    <t>Class A</t>
    <phoneticPr fontId="7"/>
  </si>
  <si>
    <t>Class B</t>
    <phoneticPr fontId="7"/>
  </si>
  <si>
    <t>Class C</t>
    <phoneticPr fontId="7"/>
  </si>
  <si>
    <t>Class D</t>
    <phoneticPr fontId="7"/>
  </si>
  <si>
    <t>Class E</t>
    <phoneticPr fontId="7"/>
  </si>
  <si>
    <t>All</t>
    <phoneticPr fontId="7"/>
  </si>
  <si>
    <t>Enc Time[%]</t>
    <phoneticPr fontId="7"/>
  </si>
  <si>
    <t>Dec Time[%]</t>
    <phoneticPr fontId="7"/>
  </si>
  <si>
    <r>
      <rPr>
        <b/>
        <sz val="8"/>
        <rFont val="宋体"/>
        <family val="3"/>
        <charset val="134"/>
      </rPr>
      <t>实验组</t>
    </r>
    <r>
      <rPr>
        <b/>
        <sz val="8"/>
        <rFont val="Arial"/>
        <family val="2"/>
      </rPr>
      <t xml:space="preserve"> - VTM</t>
    </r>
    <phoneticPr fontId="5" type="noConversion"/>
  </si>
  <si>
    <r>
      <rPr>
        <b/>
        <sz val="8"/>
        <rFont val="宋体"/>
        <family val="3"/>
        <charset val="134"/>
      </rPr>
      <t>对照组</t>
    </r>
    <r>
      <rPr>
        <b/>
        <sz val="8"/>
        <rFont val="Arial"/>
        <family val="2"/>
      </rPr>
      <t xml:space="preserve"> - HEVC</t>
    </r>
    <phoneticPr fontId="2" type="noConversion"/>
  </si>
  <si>
    <t xml:space="preserve">44.7096			</t>
  </si>
  <si>
    <t xml:space="preserve">42.2053			</t>
  </si>
  <si>
    <t xml:space="preserve">40.3736			</t>
  </si>
  <si>
    <t xml:space="preserve">39.2012		</t>
  </si>
  <si>
    <r>
      <rPr>
        <b/>
        <sz val="8"/>
        <rFont val="宋体"/>
        <family val="3"/>
        <charset val="134"/>
      </rPr>
      <t>实验组</t>
    </r>
    <r>
      <rPr>
        <b/>
        <sz val="8"/>
        <rFont val="Arial"/>
        <family val="2"/>
      </rPr>
      <t xml:space="preserve"> - VVenC</t>
    </r>
    <phoneticPr fontId="5" type="noConversion"/>
  </si>
  <si>
    <t>Enc X times</t>
    <phoneticPr fontId="5" type="noConversion"/>
  </si>
  <si>
    <t>AVG Enc X times</t>
    <phoneticPr fontId="5" type="noConversion"/>
  </si>
  <si>
    <t>Intra-VTM</t>
    <phoneticPr fontId="7"/>
  </si>
  <si>
    <t>Intra-VVenC</t>
  </si>
  <si>
    <t>Enc X Times</t>
    <phoneticPr fontId="2" type="noConversion"/>
  </si>
  <si>
    <t>绘图 - Intra-VTM</t>
    <phoneticPr fontId="2" type="noConversion"/>
  </si>
  <si>
    <t>VTM</t>
    <phoneticPr fontId="2" type="noConversion"/>
  </si>
  <si>
    <t>VVenC</t>
    <phoneticPr fontId="2" type="noConversion"/>
  </si>
  <si>
    <t>BD-Rate</t>
    <phoneticPr fontId="2" type="noConversion"/>
  </si>
  <si>
    <t>Enc Time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</si>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</sst>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);[Red]\(0.00\)"/>
    <numFmt numFmtId="177" formatCode="0.00_ "/>
    <numFmt numFmtId="178" formatCode="0.0"/>
    <numFmt numFmtId="179" formatCode="0_ "/>
    <numFmt numFmtId="180" formatCode="0_);[Red]\(0\)"/>
    <numFmt numFmtId="181" formatCode="0.0_ "/>
  </numFmts>
  <fonts count="1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8"/>
      <name val="Arial"/>
      <family val="2"/>
    </font>
    <font>
      <b/>
      <sz val="8"/>
      <name val="Arial"/>
      <family val="2"/>
    </font>
    <font>
      <sz val="8"/>
      <name val="돋움"/>
      <family val="2"/>
      <charset val="129"/>
    </font>
    <font>
      <b/>
      <sz val="8"/>
      <color indexed="10"/>
      <name val="Arial"/>
      <family val="2"/>
    </font>
    <font>
      <sz val="6"/>
      <name val="ＭＳ Ｐゴシック"/>
      <family val="3"/>
      <charset val="128"/>
    </font>
    <font>
      <b/>
      <sz val="8"/>
      <name val="宋体"/>
      <family val="3"/>
      <charset val="134"/>
    </font>
    <font>
      <b/>
      <sz val="8"/>
      <name val="Arial"/>
      <family val="3"/>
      <charset val="134"/>
    </font>
    <font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1">
    <xf numFmtId="0" fontId="0" fillId="0" borderId="0" xfId="0">
      <alignment vertical="center"/>
    </xf>
    <xf numFmtId="0" fontId="3" fillId="0" borderId="0" xfId="0" applyFont="1" applyAlignment="1"/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0" borderId="7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6" fillId="0" borderId="5" xfId="0" applyFont="1" applyBorder="1" applyAlignment="1">
      <alignment horizontal="left" indent="1"/>
    </xf>
    <xf numFmtId="0" fontId="3" fillId="0" borderId="9" xfId="0" applyFont="1" applyBorder="1" applyAlignment="1">
      <alignment horizontal="center"/>
    </xf>
    <xf numFmtId="0" fontId="3" fillId="0" borderId="5" xfId="0" applyFont="1" applyBorder="1" applyAlignment="1"/>
    <xf numFmtId="176" fontId="3" fillId="2" borderId="10" xfId="0" applyNumberFormat="1" applyFont="1" applyFill="1" applyBorder="1" applyAlignment="1">
      <alignment horizontal="right" vertical="center"/>
    </xf>
    <xf numFmtId="176" fontId="3" fillId="2" borderId="11" xfId="0" applyNumberFormat="1" applyFont="1" applyFill="1" applyBorder="1" applyAlignment="1">
      <alignment horizontal="right" vertical="center"/>
    </xf>
    <xf numFmtId="177" fontId="3" fillId="2" borderId="12" xfId="0" applyNumberFormat="1" applyFont="1" applyFill="1" applyBorder="1" applyAlignment="1"/>
    <xf numFmtId="177" fontId="3" fillId="2" borderId="0" xfId="0" applyNumberFormat="1" applyFont="1" applyFill="1" applyAlignment="1" applyProtection="1">
      <protection locked="0"/>
    </xf>
    <xf numFmtId="177" fontId="3" fillId="3" borderId="0" xfId="0" applyNumberFormat="1" applyFont="1" applyFill="1" applyAlignment="1" applyProtection="1">
      <protection locked="0"/>
    </xf>
    <xf numFmtId="177" fontId="3" fillId="2" borderId="0" xfId="0" applyNumberFormat="1" applyFont="1" applyFill="1" applyAlignment="1"/>
    <xf numFmtId="177" fontId="6" fillId="0" borderId="5" xfId="0" applyNumberFormat="1" applyFont="1" applyBorder="1" applyAlignment="1">
      <alignment horizontal="left" indent="1"/>
    </xf>
    <xf numFmtId="178" fontId="3" fillId="0" borderId="5" xfId="0" applyNumberFormat="1" applyFont="1" applyBorder="1" applyAlignment="1"/>
    <xf numFmtId="0" fontId="3" fillId="0" borderId="13" xfId="0" applyFont="1" applyBorder="1" applyAlignment="1"/>
    <xf numFmtId="177" fontId="6" fillId="0" borderId="13" xfId="0" applyNumberFormat="1" applyFont="1" applyBorder="1" applyAlignment="1">
      <alignment horizontal="left" indent="1"/>
    </xf>
    <xf numFmtId="177" fontId="3" fillId="0" borderId="13" xfId="0" applyNumberFormat="1" applyFont="1" applyBorder="1" applyAlignment="1"/>
    <xf numFmtId="0" fontId="3" fillId="0" borderId="14" xfId="0" applyFont="1" applyBorder="1" applyAlignment="1"/>
    <xf numFmtId="176" fontId="3" fillId="2" borderId="15" xfId="0" applyNumberFormat="1" applyFont="1" applyFill="1" applyBorder="1" applyAlignment="1">
      <alignment horizontal="right" vertical="center"/>
    </xf>
    <xf numFmtId="176" fontId="3" fillId="2" borderId="16" xfId="0" applyNumberFormat="1" applyFont="1" applyFill="1" applyBorder="1" applyAlignment="1">
      <alignment horizontal="right" vertical="center"/>
    </xf>
    <xf numFmtId="177" fontId="3" fillId="2" borderId="17" xfId="0" applyNumberFormat="1" applyFont="1" applyFill="1" applyBorder="1" applyAlignment="1"/>
    <xf numFmtId="177" fontId="3" fillId="2" borderId="17" xfId="0" applyNumberFormat="1" applyFont="1" applyFill="1" applyBorder="1" applyAlignment="1" applyProtection="1">
      <protection locked="0"/>
    </xf>
    <xf numFmtId="177" fontId="3" fillId="3" borderId="17" xfId="0" applyNumberFormat="1" applyFont="1" applyFill="1" applyBorder="1" applyAlignment="1" applyProtection="1">
      <protection locked="0"/>
    </xf>
    <xf numFmtId="177" fontId="6" fillId="0" borderId="14" xfId="0" applyNumberFormat="1" applyFont="1" applyBorder="1" applyAlignment="1">
      <alignment horizontal="left" indent="1"/>
    </xf>
    <xf numFmtId="177" fontId="3" fillId="2" borderId="12" xfId="0" applyNumberFormat="1" applyFont="1" applyFill="1" applyBorder="1" applyAlignment="1" applyProtection="1">
      <protection locked="0"/>
    </xf>
    <xf numFmtId="0" fontId="6" fillId="0" borderId="14" xfId="0" applyFont="1" applyBorder="1" applyAlignment="1">
      <alignment horizontal="left" indent="1"/>
    </xf>
    <xf numFmtId="176" fontId="3" fillId="2" borderId="1" xfId="0" applyNumberFormat="1" applyFont="1" applyFill="1" applyBorder="1" applyAlignment="1">
      <alignment horizontal="right" vertical="center"/>
    </xf>
    <xf numFmtId="176" fontId="3" fillId="2" borderId="18" xfId="0" applyNumberFormat="1" applyFont="1" applyFill="1" applyBorder="1" applyAlignment="1">
      <alignment horizontal="right" vertical="center"/>
    </xf>
    <xf numFmtId="176" fontId="3" fillId="2" borderId="1" xfId="1" applyNumberFormat="1" applyFont="1" applyFill="1" applyBorder="1" applyAlignment="1">
      <alignment horizontal="right" vertical="center"/>
    </xf>
    <xf numFmtId="176" fontId="3" fillId="2" borderId="18" xfId="1" applyNumberFormat="1" applyFont="1" applyFill="1" applyBorder="1" applyAlignment="1">
      <alignment horizontal="right" vertical="center"/>
    </xf>
    <xf numFmtId="176" fontId="3" fillId="2" borderId="10" xfId="1" applyNumberFormat="1" applyFont="1" applyFill="1" applyBorder="1" applyAlignment="1">
      <alignment horizontal="right" vertical="center"/>
    </xf>
    <xf numFmtId="176" fontId="3" fillId="2" borderId="11" xfId="1" applyNumberFormat="1" applyFont="1" applyFill="1" applyBorder="1" applyAlignment="1">
      <alignment horizontal="right" vertical="center"/>
    </xf>
    <xf numFmtId="176" fontId="3" fillId="2" borderId="15" xfId="1" applyNumberFormat="1" applyFont="1" applyFill="1" applyBorder="1" applyAlignment="1">
      <alignment horizontal="right" vertical="center"/>
    </xf>
    <xf numFmtId="176" fontId="3" fillId="2" borderId="16" xfId="1" applyNumberFormat="1" applyFont="1" applyFill="1" applyBorder="1" applyAlignment="1">
      <alignment horizontal="right" vertical="center"/>
    </xf>
    <xf numFmtId="176" fontId="3" fillId="2" borderId="19" xfId="0" applyNumberFormat="1" applyFont="1" applyFill="1" applyBorder="1" applyAlignment="1">
      <alignment horizontal="right" vertical="center"/>
    </xf>
    <xf numFmtId="176" fontId="3" fillId="2" borderId="20" xfId="0" applyNumberFormat="1" applyFont="1" applyFill="1" applyBorder="1" applyAlignment="1">
      <alignment horizontal="right" vertical="center"/>
    </xf>
    <xf numFmtId="179" fontId="3" fillId="0" borderId="1" xfId="0" applyNumberFormat="1" applyFont="1" applyBorder="1" applyAlignment="1">
      <alignment horizontal="right" vertical="center"/>
    </xf>
    <xf numFmtId="180" fontId="3" fillId="0" borderId="0" xfId="0" applyNumberFormat="1" applyFont="1" applyAlignment="1">
      <alignment horizontal="right" vertical="center"/>
    </xf>
    <xf numFmtId="179" fontId="3" fillId="0" borderId="0" xfId="0" applyNumberFormat="1" applyFont="1" applyAlignment="1">
      <alignment horizontal="right" vertical="center"/>
    </xf>
    <xf numFmtId="177" fontId="3" fillId="0" borderId="0" xfId="0" applyNumberFormat="1" applyFont="1" applyAlignment="1"/>
    <xf numFmtId="178" fontId="3" fillId="0" borderId="0" xfId="0" applyNumberFormat="1" applyFont="1" applyAlignment="1"/>
    <xf numFmtId="179" fontId="3" fillId="0" borderId="10" xfId="0" applyNumberFormat="1" applyFont="1" applyBorder="1" applyAlignment="1">
      <alignment horizontal="right" vertical="center"/>
    </xf>
    <xf numFmtId="0" fontId="3" fillId="4" borderId="0" xfId="0" applyFont="1" applyFill="1" applyAlignment="1"/>
    <xf numFmtId="0" fontId="3" fillId="4" borderId="10" xfId="0" applyFont="1" applyFill="1" applyBorder="1" applyAlignment="1">
      <alignment horizontal="right" vertical="center"/>
    </xf>
    <xf numFmtId="0" fontId="3" fillId="4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77" fontId="3" fillId="4" borderId="0" xfId="0" applyNumberFormat="1" applyFont="1" applyFill="1" applyAlignment="1"/>
    <xf numFmtId="178" fontId="3" fillId="4" borderId="0" xfId="0" applyNumberFormat="1" applyFont="1" applyFill="1" applyAlignment="1"/>
    <xf numFmtId="0" fontId="3" fillId="0" borderId="10" xfId="0" applyFont="1" applyBorder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/>
    <xf numFmtId="0" fontId="0" fillId="0" borderId="0" xfId="0" applyAlignment="1"/>
    <xf numFmtId="181" fontId="0" fillId="0" borderId="0" xfId="0" applyNumberFormat="1" applyAlignment="1"/>
    <xf numFmtId="0" fontId="9" fillId="0" borderId="2" xfId="0" applyFont="1" applyBorder="1" applyAlignment="1">
      <alignment horizontal="center"/>
    </xf>
    <xf numFmtId="0" fontId="9" fillId="0" borderId="2" xfId="0" applyFont="1" applyBorder="1" applyAlignment="1" applyProtection="1">
      <alignment horizontal="center"/>
      <protection locked="0"/>
    </xf>
    <xf numFmtId="0" fontId="10" fillId="0" borderId="21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0" fillId="0" borderId="21" xfId="0" applyBorder="1" applyAlignment="1"/>
    <xf numFmtId="0" fontId="0" fillId="0" borderId="21" xfId="0" applyFill="1" applyBorder="1" applyAlignment="1">
      <alignment horizontal="center"/>
    </xf>
    <xf numFmtId="0" fontId="10" fillId="0" borderId="21" xfId="0" applyFont="1" applyBorder="1" applyAlignment="1"/>
    <xf numFmtId="181" fontId="10" fillId="0" borderId="21" xfId="0" applyNumberFormat="1" applyFont="1" applyBorder="1" applyAlignment="1"/>
    <xf numFmtId="9" fontId="10" fillId="0" borderId="21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1" xfId="0" applyBorder="1" applyAlignment="1">
      <alignment horizontal="center"/>
    </xf>
    <xf numFmtId="181" fontId="0" fillId="0" borderId="21" xfId="0" applyNumberFormat="1" applyBorder="1" applyAlignment="1"/>
    <xf numFmtId="9" fontId="0" fillId="0" borderId="21" xfId="0" applyNumberFormat="1" applyBorder="1" applyAlignment="1">
      <alignment horizontal="center"/>
    </xf>
    <xf numFmtId="180" fontId="0" fillId="0" borderId="21" xfId="0" applyNumberFormat="1" applyBorder="1" applyAlignment="1"/>
    <xf numFmtId="0" fontId="0" fillId="0" borderId="0" xfId="0" applyFill="1" applyBorder="1" applyAlignment="1"/>
  </cellXfs>
  <cellStyles count="2">
    <cellStyle name="百分比" xfId="1" builtinId="5"/>
    <cellStyle name="常规" xfId="0" builtinId="0"/>
  </cellStyles>
  <dxfs count="48"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ndense val="0"/>
        <extend val="0"/>
        <color indexed="5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ClassA</a:t>
            </a:r>
            <a:r>
              <a:rPr lang="en-US" altLang="zh-CN" baseline="0"/>
              <a:t> HM VTM VVenC</a:t>
            </a:r>
          </a:p>
          <a:p>
            <a:pPr>
              <a:defRPr/>
            </a:pPr>
            <a:r>
              <a:rPr lang="zh-CN" altLang="en-US" baseline="0"/>
              <a:t>编码效率</a:t>
            </a:r>
            <a:r>
              <a:rPr lang="en-US" altLang="zh-CN" baseline="0"/>
              <a:t>-</a:t>
            </a:r>
            <a:r>
              <a:rPr lang="zh-CN" altLang="en-US" baseline="0"/>
              <a:t>编码时间对比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Summary!$C$16</c:f>
              <c:strCache>
                <c:ptCount val="1"/>
                <c:pt idx="0">
                  <c:v>HEVC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Summary!$E$16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Summary!$D$16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5E-4500-9E91-02CEAB256ACB}"/>
            </c:ext>
          </c:extLst>
        </c:ser>
        <c:ser>
          <c:idx val="1"/>
          <c:order val="1"/>
          <c:tx>
            <c:strRef>
              <c:f>Summary!$C$17</c:f>
              <c:strCache>
                <c:ptCount val="1"/>
                <c:pt idx="0">
                  <c:v>VTM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Summary!$E$17</c:f>
              <c:numCache>
                <c:formatCode>0.0_ </c:formatCode>
                <c:ptCount val="1"/>
                <c:pt idx="0">
                  <c:v>34.03541714066963</c:v>
                </c:pt>
              </c:numCache>
            </c:numRef>
          </c:xVal>
          <c:yVal>
            <c:numRef>
              <c:f>Summary!$D$17</c:f>
              <c:numCache>
                <c:formatCode>0.0_ </c:formatCode>
                <c:ptCount val="1"/>
                <c:pt idx="0">
                  <c:v>-25.14114326816032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5E-4500-9E91-02CEAB256ACB}"/>
            </c:ext>
          </c:extLst>
        </c:ser>
        <c:ser>
          <c:idx val="2"/>
          <c:order val="2"/>
          <c:tx>
            <c:strRef>
              <c:f>Summary!$C$18</c:f>
              <c:strCache>
                <c:ptCount val="1"/>
                <c:pt idx="0">
                  <c:v>VVenC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Summary!$E$18</c:f>
              <c:numCache>
                <c:formatCode>General</c:formatCode>
                <c:ptCount val="1"/>
                <c:pt idx="0">
                  <c:v>11.635660371837698</c:v>
                </c:pt>
              </c:numCache>
            </c:numRef>
          </c:xVal>
          <c:yVal>
            <c:numRef>
              <c:f>Summary!$D$18</c:f>
              <c:numCache>
                <c:formatCode>0.0_ </c:formatCode>
                <c:ptCount val="1"/>
                <c:pt idx="0">
                  <c:v>-22.985233580791309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5E-4500-9E91-02CEAB256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1244016"/>
        <c:axId val="2101245264"/>
      </c:scatterChart>
      <c:valAx>
        <c:axId val="210124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01245264"/>
        <c:crosses val="autoZero"/>
        <c:crossBetween val="midCat"/>
      </c:valAx>
      <c:valAx>
        <c:axId val="2101245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01244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13</xdr:row>
      <xdr:rowOff>71437</xdr:rowOff>
    </xdr:from>
    <xdr:to>
      <xdr:col>12</xdr:col>
      <xdr:colOff>195262</xdr:colOff>
      <xdr:row>28</xdr:row>
      <xdr:rowOff>100012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3D287BF4-FD92-46E5-B889-D5219252C0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146DB-6032-40CC-A10B-FCE8E4EAC345}">
  <sheetPr codeName="Sheet2"/>
  <dimension ref="B2:O34"/>
  <sheetViews>
    <sheetView workbookViewId="0">
      <selection activeCell="O21" sqref="O21"/>
    </sheetView>
  </sheetViews>
  <sheetFormatPr defaultRowHeight="14.25"/>
  <cols>
    <col min="1" max="1" width="2" style="64" customWidth="1"/>
    <col min="2" max="2" width="11.25" style="64" customWidth="1"/>
    <col min="3" max="3" width="9.5" style="64" bestFit="1" customWidth="1"/>
    <col min="4" max="4" width="9.75" style="64" bestFit="1" customWidth="1"/>
    <col min="5" max="5" width="9.625" style="64" bestFit="1" customWidth="1"/>
    <col min="6" max="6" width="11.375" style="64" bestFit="1" customWidth="1"/>
    <col min="11" max="14" width="9" style="64"/>
    <col min="15" max="15" width="12.75" style="64" bestFit="1" customWidth="1"/>
    <col min="16" max="253" width="9" style="64"/>
    <col min="254" max="254" width="2" style="64" customWidth="1"/>
    <col min="255" max="255" width="11.25" style="64" customWidth="1"/>
    <col min="256" max="261" width="8.125" style="64" bestFit="1" customWidth="1"/>
    <col min="262" max="509" width="9" style="64"/>
    <col min="510" max="510" width="2" style="64" customWidth="1"/>
    <col min="511" max="511" width="11.25" style="64" customWidth="1"/>
    <col min="512" max="517" width="8.125" style="64" bestFit="1" customWidth="1"/>
    <col min="518" max="765" width="9" style="64"/>
    <col min="766" max="766" width="2" style="64" customWidth="1"/>
    <col min="767" max="767" width="11.25" style="64" customWidth="1"/>
    <col min="768" max="773" width="8.125" style="64" bestFit="1" customWidth="1"/>
    <col min="774" max="1021" width="9" style="64"/>
    <col min="1022" max="1022" width="2" style="64" customWidth="1"/>
    <col min="1023" max="1023" width="11.25" style="64" customWidth="1"/>
    <col min="1024" max="1029" width="8.125" style="64" bestFit="1" customWidth="1"/>
    <col min="1030" max="1277" width="9" style="64"/>
    <col min="1278" max="1278" width="2" style="64" customWidth="1"/>
    <col min="1279" max="1279" width="11.25" style="64" customWidth="1"/>
    <col min="1280" max="1285" width="8.125" style="64" bestFit="1" customWidth="1"/>
    <col min="1286" max="1533" width="9" style="64"/>
    <col min="1534" max="1534" width="2" style="64" customWidth="1"/>
    <col min="1535" max="1535" width="11.25" style="64" customWidth="1"/>
    <col min="1536" max="1541" width="8.125" style="64" bestFit="1" customWidth="1"/>
    <col min="1542" max="1789" width="9" style="64"/>
    <col min="1790" max="1790" width="2" style="64" customWidth="1"/>
    <col min="1791" max="1791" width="11.25" style="64" customWidth="1"/>
    <col min="1792" max="1797" width="8.125" style="64" bestFit="1" customWidth="1"/>
    <col min="1798" max="2045" width="9" style="64"/>
    <col min="2046" max="2046" width="2" style="64" customWidth="1"/>
    <col min="2047" max="2047" width="11.25" style="64" customWidth="1"/>
    <col min="2048" max="2053" width="8.125" style="64" bestFit="1" customWidth="1"/>
    <col min="2054" max="2301" width="9" style="64"/>
    <col min="2302" max="2302" width="2" style="64" customWidth="1"/>
    <col min="2303" max="2303" width="11.25" style="64" customWidth="1"/>
    <col min="2304" max="2309" width="8.125" style="64" bestFit="1" customWidth="1"/>
    <col min="2310" max="2557" width="9" style="64"/>
    <col min="2558" max="2558" width="2" style="64" customWidth="1"/>
    <col min="2559" max="2559" width="11.25" style="64" customWidth="1"/>
    <col min="2560" max="2565" width="8.125" style="64" bestFit="1" customWidth="1"/>
    <col min="2566" max="2813" width="9" style="64"/>
    <col min="2814" max="2814" width="2" style="64" customWidth="1"/>
    <col min="2815" max="2815" width="11.25" style="64" customWidth="1"/>
    <col min="2816" max="2821" width="8.125" style="64" bestFit="1" customWidth="1"/>
    <col min="2822" max="3069" width="9" style="64"/>
    <col min="3070" max="3070" width="2" style="64" customWidth="1"/>
    <col min="3071" max="3071" width="11.25" style="64" customWidth="1"/>
    <col min="3072" max="3077" width="8.125" style="64" bestFit="1" customWidth="1"/>
    <col min="3078" max="3325" width="9" style="64"/>
    <col min="3326" max="3326" width="2" style="64" customWidth="1"/>
    <col min="3327" max="3327" width="11.25" style="64" customWidth="1"/>
    <col min="3328" max="3333" width="8.125" style="64" bestFit="1" customWidth="1"/>
    <col min="3334" max="3581" width="9" style="64"/>
    <col min="3582" max="3582" width="2" style="64" customWidth="1"/>
    <col min="3583" max="3583" width="11.25" style="64" customWidth="1"/>
    <col min="3584" max="3589" width="8.125" style="64" bestFit="1" customWidth="1"/>
    <col min="3590" max="3837" width="9" style="64"/>
    <col min="3838" max="3838" width="2" style="64" customWidth="1"/>
    <col min="3839" max="3839" width="11.25" style="64" customWidth="1"/>
    <col min="3840" max="3845" width="8.125" style="64" bestFit="1" customWidth="1"/>
    <col min="3846" max="4093" width="9" style="64"/>
    <col min="4094" max="4094" width="2" style="64" customWidth="1"/>
    <col min="4095" max="4095" width="11.25" style="64" customWidth="1"/>
    <col min="4096" max="4101" width="8.125" style="64" bestFit="1" customWidth="1"/>
    <col min="4102" max="4349" width="9" style="64"/>
    <col min="4350" max="4350" width="2" style="64" customWidth="1"/>
    <col min="4351" max="4351" width="11.25" style="64" customWidth="1"/>
    <col min="4352" max="4357" width="8.125" style="64" bestFit="1" customWidth="1"/>
    <col min="4358" max="4605" width="9" style="64"/>
    <col min="4606" max="4606" width="2" style="64" customWidth="1"/>
    <col min="4607" max="4607" width="11.25" style="64" customWidth="1"/>
    <col min="4608" max="4613" width="8.125" style="64" bestFit="1" customWidth="1"/>
    <col min="4614" max="4861" width="9" style="64"/>
    <col min="4862" max="4862" width="2" style="64" customWidth="1"/>
    <col min="4863" max="4863" width="11.25" style="64" customWidth="1"/>
    <col min="4864" max="4869" width="8.125" style="64" bestFit="1" customWidth="1"/>
    <col min="4870" max="5117" width="9" style="64"/>
    <col min="5118" max="5118" width="2" style="64" customWidth="1"/>
    <col min="5119" max="5119" width="11.25" style="64" customWidth="1"/>
    <col min="5120" max="5125" width="8.125" style="64" bestFit="1" customWidth="1"/>
    <col min="5126" max="5373" width="9" style="64"/>
    <col min="5374" max="5374" width="2" style="64" customWidth="1"/>
    <col min="5375" max="5375" width="11.25" style="64" customWidth="1"/>
    <col min="5376" max="5381" width="8.125" style="64" bestFit="1" customWidth="1"/>
    <col min="5382" max="5629" width="9" style="64"/>
    <col min="5630" max="5630" width="2" style="64" customWidth="1"/>
    <col min="5631" max="5631" width="11.25" style="64" customWidth="1"/>
    <col min="5632" max="5637" width="8.125" style="64" bestFit="1" customWidth="1"/>
    <col min="5638" max="5885" width="9" style="64"/>
    <col min="5886" max="5886" width="2" style="64" customWidth="1"/>
    <col min="5887" max="5887" width="11.25" style="64" customWidth="1"/>
    <col min="5888" max="5893" width="8.125" style="64" bestFit="1" customWidth="1"/>
    <col min="5894" max="6141" width="9" style="64"/>
    <col min="6142" max="6142" width="2" style="64" customWidth="1"/>
    <col min="6143" max="6143" width="11.25" style="64" customWidth="1"/>
    <col min="6144" max="6149" width="8.125" style="64" bestFit="1" customWidth="1"/>
    <col min="6150" max="6397" width="9" style="64"/>
    <col min="6398" max="6398" width="2" style="64" customWidth="1"/>
    <col min="6399" max="6399" width="11.25" style="64" customWidth="1"/>
    <col min="6400" max="6405" width="8.125" style="64" bestFit="1" customWidth="1"/>
    <col min="6406" max="6653" width="9" style="64"/>
    <col min="6654" max="6654" width="2" style="64" customWidth="1"/>
    <col min="6655" max="6655" width="11.25" style="64" customWidth="1"/>
    <col min="6656" max="6661" width="8.125" style="64" bestFit="1" customWidth="1"/>
    <col min="6662" max="6909" width="9" style="64"/>
    <col min="6910" max="6910" width="2" style="64" customWidth="1"/>
    <col min="6911" max="6911" width="11.25" style="64" customWidth="1"/>
    <col min="6912" max="6917" width="8.125" style="64" bestFit="1" customWidth="1"/>
    <col min="6918" max="7165" width="9" style="64"/>
    <col min="7166" max="7166" width="2" style="64" customWidth="1"/>
    <col min="7167" max="7167" width="11.25" style="64" customWidth="1"/>
    <col min="7168" max="7173" width="8.125" style="64" bestFit="1" customWidth="1"/>
    <col min="7174" max="7421" width="9" style="64"/>
    <col min="7422" max="7422" width="2" style="64" customWidth="1"/>
    <col min="7423" max="7423" width="11.25" style="64" customWidth="1"/>
    <col min="7424" max="7429" width="8.125" style="64" bestFit="1" customWidth="1"/>
    <col min="7430" max="7677" width="9" style="64"/>
    <col min="7678" max="7678" width="2" style="64" customWidth="1"/>
    <col min="7679" max="7679" width="11.25" style="64" customWidth="1"/>
    <col min="7680" max="7685" width="8.125" style="64" bestFit="1" customWidth="1"/>
    <col min="7686" max="7933" width="9" style="64"/>
    <col min="7934" max="7934" width="2" style="64" customWidth="1"/>
    <col min="7935" max="7935" width="11.25" style="64" customWidth="1"/>
    <col min="7936" max="7941" width="8.125" style="64" bestFit="1" customWidth="1"/>
    <col min="7942" max="8189" width="9" style="64"/>
    <col min="8190" max="8190" width="2" style="64" customWidth="1"/>
    <col min="8191" max="8191" width="11.25" style="64" customWidth="1"/>
    <col min="8192" max="8197" width="8.125" style="64" bestFit="1" customWidth="1"/>
    <col min="8198" max="8445" width="9" style="64"/>
    <col min="8446" max="8446" width="2" style="64" customWidth="1"/>
    <col min="8447" max="8447" width="11.25" style="64" customWidth="1"/>
    <col min="8448" max="8453" width="8.125" style="64" bestFit="1" customWidth="1"/>
    <col min="8454" max="8701" width="9" style="64"/>
    <col min="8702" max="8702" width="2" style="64" customWidth="1"/>
    <col min="8703" max="8703" width="11.25" style="64" customWidth="1"/>
    <col min="8704" max="8709" width="8.125" style="64" bestFit="1" customWidth="1"/>
    <col min="8710" max="8957" width="9" style="64"/>
    <col min="8958" max="8958" width="2" style="64" customWidth="1"/>
    <col min="8959" max="8959" width="11.25" style="64" customWidth="1"/>
    <col min="8960" max="8965" width="8.125" style="64" bestFit="1" customWidth="1"/>
    <col min="8966" max="9213" width="9" style="64"/>
    <col min="9214" max="9214" width="2" style="64" customWidth="1"/>
    <col min="9215" max="9215" width="11.25" style="64" customWidth="1"/>
    <col min="9216" max="9221" width="8.125" style="64" bestFit="1" customWidth="1"/>
    <col min="9222" max="9469" width="9" style="64"/>
    <col min="9470" max="9470" width="2" style="64" customWidth="1"/>
    <col min="9471" max="9471" width="11.25" style="64" customWidth="1"/>
    <col min="9472" max="9477" width="8.125" style="64" bestFit="1" customWidth="1"/>
    <col min="9478" max="9725" width="9" style="64"/>
    <col min="9726" max="9726" width="2" style="64" customWidth="1"/>
    <col min="9727" max="9727" width="11.25" style="64" customWidth="1"/>
    <col min="9728" max="9733" width="8.125" style="64" bestFit="1" customWidth="1"/>
    <col min="9734" max="9981" width="9" style="64"/>
    <col min="9982" max="9982" width="2" style="64" customWidth="1"/>
    <col min="9983" max="9983" width="11.25" style="64" customWidth="1"/>
    <col min="9984" max="9989" width="8.125" style="64" bestFit="1" customWidth="1"/>
    <col min="9990" max="10237" width="9" style="64"/>
    <col min="10238" max="10238" width="2" style="64" customWidth="1"/>
    <col min="10239" max="10239" width="11.25" style="64" customWidth="1"/>
    <col min="10240" max="10245" width="8.125" style="64" bestFit="1" customWidth="1"/>
    <col min="10246" max="10493" width="9" style="64"/>
    <col min="10494" max="10494" width="2" style="64" customWidth="1"/>
    <col min="10495" max="10495" width="11.25" style="64" customWidth="1"/>
    <col min="10496" max="10501" width="8.125" style="64" bestFit="1" customWidth="1"/>
    <col min="10502" max="10749" width="9" style="64"/>
    <col min="10750" max="10750" width="2" style="64" customWidth="1"/>
    <col min="10751" max="10751" width="11.25" style="64" customWidth="1"/>
    <col min="10752" max="10757" width="8.125" style="64" bestFit="1" customWidth="1"/>
    <col min="10758" max="11005" width="9" style="64"/>
    <col min="11006" max="11006" width="2" style="64" customWidth="1"/>
    <col min="11007" max="11007" width="11.25" style="64" customWidth="1"/>
    <col min="11008" max="11013" width="8.125" style="64" bestFit="1" customWidth="1"/>
    <col min="11014" max="11261" width="9" style="64"/>
    <col min="11262" max="11262" width="2" style="64" customWidth="1"/>
    <col min="11263" max="11263" width="11.25" style="64" customWidth="1"/>
    <col min="11264" max="11269" width="8.125" style="64" bestFit="1" customWidth="1"/>
    <col min="11270" max="11517" width="9" style="64"/>
    <col min="11518" max="11518" width="2" style="64" customWidth="1"/>
    <col min="11519" max="11519" width="11.25" style="64" customWidth="1"/>
    <col min="11520" max="11525" width="8.125" style="64" bestFit="1" customWidth="1"/>
    <col min="11526" max="11773" width="9" style="64"/>
    <col min="11774" max="11774" width="2" style="64" customWidth="1"/>
    <col min="11775" max="11775" width="11.25" style="64" customWidth="1"/>
    <col min="11776" max="11781" width="8.125" style="64" bestFit="1" customWidth="1"/>
    <col min="11782" max="12029" width="9" style="64"/>
    <col min="12030" max="12030" width="2" style="64" customWidth="1"/>
    <col min="12031" max="12031" width="11.25" style="64" customWidth="1"/>
    <col min="12032" max="12037" width="8.125" style="64" bestFit="1" customWidth="1"/>
    <col min="12038" max="12285" width="9" style="64"/>
    <col min="12286" max="12286" width="2" style="64" customWidth="1"/>
    <col min="12287" max="12287" width="11.25" style="64" customWidth="1"/>
    <col min="12288" max="12293" width="8.125" style="64" bestFit="1" customWidth="1"/>
    <col min="12294" max="12541" width="9" style="64"/>
    <col min="12542" max="12542" width="2" style="64" customWidth="1"/>
    <col min="12543" max="12543" width="11.25" style="64" customWidth="1"/>
    <col min="12544" max="12549" width="8.125" style="64" bestFit="1" customWidth="1"/>
    <col min="12550" max="12797" width="9" style="64"/>
    <col min="12798" max="12798" width="2" style="64" customWidth="1"/>
    <col min="12799" max="12799" width="11.25" style="64" customWidth="1"/>
    <col min="12800" max="12805" width="8.125" style="64" bestFit="1" customWidth="1"/>
    <col min="12806" max="13053" width="9" style="64"/>
    <col min="13054" max="13054" width="2" style="64" customWidth="1"/>
    <col min="13055" max="13055" width="11.25" style="64" customWidth="1"/>
    <col min="13056" max="13061" width="8.125" style="64" bestFit="1" customWidth="1"/>
    <col min="13062" max="13309" width="9" style="64"/>
    <col min="13310" max="13310" width="2" style="64" customWidth="1"/>
    <col min="13311" max="13311" width="11.25" style="64" customWidth="1"/>
    <col min="13312" max="13317" width="8.125" style="64" bestFit="1" customWidth="1"/>
    <col min="13318" max="13565" width="9" style="64"/>
    <col min="13566" max="13566" width="2" style="64" customWidth="1"/>
    <col min="13567" max="13567" width="11.25" style="64" customWidth="1"/>
    <col min="13568" max="13573" width="8.125" style="64" bestFit="1" customWidth="1"/>
    <col min="13574" max="13821" width="9" style="64"/>
    <col min="13822" max="13822" width="2" style="64" customWidth="1"/>
    <col min="13823" max="13823" width="11.25" style="64" customWidth="1"/>
    <col min="13824" max="13829" width="8.125" style="64" bestFit="1" customWidth="1"/>
    <col min="13830" max="14077" width="9" style="64"/>
    <col min="14078" max="14078" width="2" style="64" customWidth="1"/>
    <col min="14079" max="14079" width="11.25" style="64" customWidth="1"/>
    <col min="14080" max="14085" width="8.125" style="64" bestFit="1" customWidth="1"/>
    <col min="14086" max="14333" width="9" style="64"/>
    <col min="14334" max="14334" width="2" style="64" customWidth="1"/>
    <col min="14335" max="14335" width="11.25" style="64" customWidth="1"/>
    <col min="14336" max="14341" width="8.125" style="64" bestFit="1" customWidth="1"/>
    <col min="14342" max="14589" width="9" style="64"/>
    <col min="14590" max="14590" width="2" style="64" customWidth="1"/>
    <col min="14591" max="14591" width="11.25" style="64" customWidth="1"/>
    <col min="14592" max="14597" width="8.125" style="64" bestFit="1" customWidth="1"/>
    <col min="14598" max="14845" width="9" style="64"/>
    <col min="14846" max="14846" width="2" style="64" customWidth="1"/>
    <col min="14847" max="14847" width="11.25" style="64" customWidth="1"/>
    <col min="14848" max="14853" width="8.125" style="64" bestFit="1" customWidth="1"/>
    <col min="14854" max="15101" width="9" style="64"/>
    <col min="15102" max="15102" width="2" style="64" customWidth="1"/>
    <col min="15103" max="15103" width="11.25" style="64" customWidth="1"/>
    <col min="15104" max="15109" width="8.125" style="64" bestFit="1" customWidth="1"/>
    <col min="15110" max="15357" width="9" style="64"/>
    <col min="15358" max="15358" width="2" style="64" customWidth="1"/>
    <col min="15359" max="15359" width="11.25" style="64" customWidth="1"/>
    <col min="15360" max="15365" width="8.125" style="64" bestFit="1" customWidth="1"/>
    <col min="15366" max="15613" width="9" style="64"/>
    <col min="15614" max="15614" width="2" style="64" customWidth="1"/>
    <col min="15615" max="15615" width="11.25" style="64" customWidth="1"/>
    <col min="15616" max="15621" width="8.125" style="64" bestFit="1" customWidth="1"/>
    <col min="15622" max="15869" width="9" style="64"/>
    <col min="15870" max="15870" width="2" style="64" customWidth="1"/>
    <col min="15871" max="15871" width="11.25" style="64" customWidth="1"/>
    <col min="15872" max="15877" width="8.125" style="64" bestFit="1" customWidth="1"/>
    <col min="15878" max="16125" width="9" style="64"/>
    <col min="16126" max="16126" width="2" style="64" customWidth="1"/>
    <col min="16127" max="16127" width="11.25" style="64" customWidth="1"/>
    <col min="16128" max="16133" width="8.125" style="64" bestFit="1" customWidth="1"/>
    <col min="16134" max="16384" width="9" style="64"/>
  </cols>
  <sheetData>
    <row r="2" spans="2:15">
      <c r="B2" s="75"/>
      <c r="C2" s="75" t="s">
        <v>86</v>
      </c>
      <c r="D2" s="75"/>
      <c r="E2" s="75"/>
      <c r="F2" s="70"/>
      <c r="K2" s="68"/>
      <c r="L2" s="69" t="s">
        <v>87</v>
      </c>
      <c r="M2" s="69"/>
      <c r="N2" s="69"/>
      <c r="O2" s="70"/>
    </row>
    <row r="3" spans="2:15">
      <c r="B3" s="75"/>
      <c r="C3" s="76" t="s">
        <v>66</v>
      </c>
      <c r="D3" s="76" t="s">
        <v>67</v>
      </c>
      <c r="E3" s="76" t="s">
        <v>68</v>
      </c>
      <c r="F3" s="71" t="s">
        <v>88</v>
      </c>
      <c r="K3" s="68"/>
      <c r="L3" s="68" t="s">
        <v>66</v>
      </c>
      <c r="M3" s="68" t="s">
        <v>67</v>
      </c>
      <c r="N3" s="68" t="s">
        <v>68</v>
      </c>
      <c r="O3" s="71" t="s">
        <v>88</v>
      </c>
    </row>
    <row r="4" spans="2:15">
      <c r="B4" s="70" t="s">
        <v>69</v>
      </c>
      <c r="C4" s="77">
        <f>'Intra-VTM'!$AE75</f>
        <v>-25.14114326816032</v>
      </c>
      <c r="D4" s="77">
        <f>'Intra-VTM'!$AF75</f>
        <v>-27.919240681299762</v>
      </c>
      <c r="E4" s="77">
        <f>'Intra-VTM'!$AG75</f>
        <v>-30.896909265755944</v>
      </c>
      <c r="F4" s="77">
        <f>'Intra-VTM'!AI3</f>
        <v>34.03541714066963</v>
      </c>
      <c r="K4" s="72" t="s">
        <v>69</v>
      </c>
      <c r="L4" s="73">
        <f>'Intra-VVenC'!$AE75</f>
        <v>-22.985233580791309</v>
      </c>
      <c r="M4" s="73">
        <f>'Intra-VVenC'!$AF75</f>
        <v>-32.719501830038006</v>
      </c>
      <c r="N4" s="73">
        <f>'Intra-VVenC'!$AG75</f>
        <v>-35.078752869471217</v>
      </c>
      <c r="O4" s="70">
        <f>'Intra-VVenC'!AI3</f>
        <v>11.635660371837698</v>
      </c>
    </row>
    <row r="5" spans="2:15">
      <c r="B5" s="70" t="s">
        <v>70</v>
      </c>
      <c r="C5" s="77" t="e">
        <f>'Intra-VTM'!$AE76</f>
        <v>#VALUE!</v>
      </c>
      <c r="D5" s="77" t="e">
        <f>'Intra-VTM'!$AF76</f>
        <v>#VALUE!</v>
      </c>
      <c r="E5" s="77" t="e">
        <f>'Intra-VTM'!$AG76</f>
        <v>#VALUE!</v>
      </c>
      <c r="F5" s="77"/>
      <c r="K5" s="72" t="s">
        <v>70</v>
      </c>
      <c r="L5" s="73" t="e">
        <f>'Intra-VVenC'!$AE76</f>
        <v>#VALUE!</v>
      </c>
      <c r="M5" s="73" t="e">
        <f>'Intra-VVenC'!$AF76</f>
        <v>#VALUE!</v>
      </c>
      <c r="N5" s="73" t="e">
        <f>'Intra-VVenC'!$AG76</f>
        <v>#VALUE!</v>
      </c>
      <c r="O5" s="70"/>
    </row>
    <row r="6" spans="2:15">
      <c r="B6" s="70" t="s">
        <v>71</v>
      </c>
      <c r="C6" s="77" t="e">
        <f>'Intra-VTM'!$AE77</f>
        <v>#VALUE!</v>
      </c>
      <c r="D6" s="77" t="e">
        <f>'Intra-VTM'!$AF77</f>
        <v>#VALUE!</v>
      </c>
      <c r="E6" s="77" t="e">
        <f>'Intra-VTM'!$AG77</f>
        <v>#VALUE!</v>
      </c>
      <c r="F6" s="77"/>
      <c r="K6" s="72" t="s">
        <v>71</v>
      </c>
      <c r="L6" s="73" t="e">
        <f>'Intra-VVenC'!$AE77</f>
        <v>#VALUE!</v>
      </c>
      <c r="M6" s="73" t="e">
        <f>'Intra-VVenC'!$AF77</f>
        <v>#VALUE!</v>
      </c>
      <c r="N6" s="73" t="e">
        <f>'Intra-VVenC'!$AG77</f>
        <v>#VALUE!</v>
      </c>
      <c r="O6" s="70"/>
    </row>
    <row r="7" spans="2:15">
      <c r="B7" s="70" t="s">
        <v>72</v>
      </c>
      <c r="C7" s="77" t="e">
        <f>'Intra-VTM'!$AE78</f>
        <v>#VALUE!</v>
      </c>
      <c r="D7" s="77" t="e">
        <f>'Intra-VTM'!$AF78</f>
        <v>#VALUE!</v>
      </c>
      <c r="E7" s="77" t="e">
        <f>'Intra-VTM'!$AG78</f>
        <v>#VALUE!</v>
      </c>
      <c r="F7" s="77"/>
      <c r="K7" s="72" t="s">
        <v>72</v>
      </c>
      <c r="L7" s="73" t="e">
        <f>'Intra-VVenC'!$AE78</f>
        <v>#VALUE!</v>
      </c>
      <c r="M7" s="73" t="e">
        <f>'Intra-VVenC'!$AF78</f>
        <v>#VALUE!</v>
      </c>
      <c r="N7" s="73" t="e">
        <f>'Intra-VVenC'!$AG78</f>
        <v>#VALUE!</v>
      </c>
      <c r="O7" s="70"/>
    </row>
    <row r="8" spans="2:15">
      <c r="B8" s="70" t="s">
        <v>73</v>
      </c>
      <c r="C8" s="77" t="e">
        <f>'Intra-VTM'!$AE79</f>
        <v>#VALUE!</v>
      </c>
      <c r="D8" s="77" t="e">
        <f>'Intra-VTM'!$AF79</f>
        <v>#VALUE!</v>
      </c>
      <c r="E8" s="77" t="e">
        <f>'Intra-VTM'!$AG79</f>
        <v>#VALUE!</v>
      </c>
      <c r="F8" s="77"/>
      <c r="K8" s="72" t="s">
        <v>73</v>
      </c>
      <c r="L8" s="73" t="e">
        <f>'Intra-VVenC'!$AE79</f>
        <v>#VALUE!</v>
      </c>
      <c r="M8" s="73" t="e">
        <f>'Intra-VVenC'!$AF79</f>
        <v>#VALUE!</v>
      </c>
      <c r="N8" s="73" t="e">
        <f>'Intra-VVenC'!$AG79</f>
        <v>#VALUE!</v>
      </c>
      <c r="O8" s="70"/>
    </row>
    <row r="9" spans="2:15">
      <c r="B9" s="70" t="s">
        <v>74</v>
      </c>
      <c r="C9" s="77" t="e">
        <f>'Intra-VTM'!$AE80</f>
        <v>#VALUE!</v>
      </c>
      <c r="D9" s="77" t="e">
        <f>'Intra-VTM'!$AF80</f>
        <v>#VALUE!</v>
      </c>
      <c r="E9" s="77" t="e">
        <f>'Intra-VTM'!$AG80</f>
        <v>#VALUE!</v>
      </c>
      <c r="F9" s="77"/>
      <c r="K9" s="72" t="s">
        <v>74</v>
      </c>
      <c r="L9" s="73" t="e">
        <f>'Intra-VVenC'!$AE80</f>
        <v>#VALUE!</v>
      </c>
      <c r="M9" s="73" t="e">
        <f>'Intra-VVenC'!$AF80</f>
        <v>#VALUE!</v>
      </c>
      <c r="N9" s="73" t="e">
        <f>'Intra-VVenC'!$AG80</f>
        <v>#VALUE!</v>
      </c>
      <c r="O9" s="70"/>
    </row>
    <row r="10" spans="2:15" hidden="1">
      <c r="B10" s="70" t="s">
        <v>75</v>
      </c>
      <c r="C10" s="78" t="e">
        <f>'Intra-VTM'!$AD82</f>
        <v>#NUM!</v>
      </c>
      <c r="D10" s="78"/>
      <c r="E10" s="78"/>
      <c r="F10" s="79"/>
      <c r="K10" s="72" t="s">
        <v>75</v>
      </c>
      <c r="L10" s="74" t="e">
        <f>'Intra-VVenC'!$AD82</f>
        <v>#NUM!</v>
      </c>
      <c r="M10" s="74"/>
      <c r="N10" s="74"/>
      <c r="O10" s="70"/>
    </row>
    <row r="11" spans="2:15" hidden="1">
      <c r="B11" s="70" t="s">
        <v>76</v>
      </c>
      <c r="C11" s="78" t="e">
        <f>'Intra-VTM'!$AC82</f>
        <v>#NUM!</v>
      </c>
      <c r="D11" s="78"/>
      <c r="E11" s="78"/>
      <c r="F11" s="79"/>
      <c r="K11" s="72" t="s">
        <v>76</v>
      </c>
      <c r="L11" s="74" t="e">
        <f>'Intra-VVenC'!$AC82</f>
        <v>#NUM!</v>
      </c>
      <c r="M11" s="74"/>
      <c r="N11" s="74"/>
      <c r="O11" s="70"/>
    </row>
    <row r="14" spans="2:15">
      <c r="B14" s="80" t="s">
        <v>89</v>
      </c>
      <c r="K14" s="80"/>
    </row>
    <row r="15" spans="2:15">
      <c r="B15" s="80" t="s">
        <v>94</v>
      </c>
      <c r="D15" s="64" t="s">
        <v>92</v>
      </c>
      <c r="E15" s="64" t="s">
        <v>93</v>
      </c>
    </row>
    <row r="16" spans="2:15">
      <c r="C16" s="64" t="s">
        <v>65</v>
      </c>
      <c r="D16" s="64">
        <v>0</v>
      </c>
      <c r="E16" s="64">
        <v>1</v>
      </c>
    </row>
    <row r="17" spans="2:13">
      <c r="C17" s="64" t="s">
        <v>90</v>
      </c>
      <c r="D17" s="65">
        <f>C4</f>
        <v>-25.14114326816032</v>
      </c>
      <c r="E17" s="65">
        <f>F4</f>
        <v>34.03541714066963</v>
      </c>
      <c r="L17" s="65"/>
      <c r="M17" s="65"/>
    </row>
    <row r="18" spans="2:13">
      <c r="C18" s="64" t="s">
        <v>91</v>
      </c>
      <c r="D18" s="65">
        <f>L4</f>
        <v>-22.985233580791309</v>
      </c>
      <c r="E18" s="64">
        <f>O4</f>
        <v>11.635660371837698</v>
      </c>
      <c r="L18" s="65"/>
    </row>
    <row r="19" spans="2:13">
      <c r="B19" s="80" t="s">
        <v>95</v>
      </c>
      <c r="D19" s="64" t="s">
        <v>92</v>
      </c>
      <c r="E19" s="64" t="s">
        <v>93</v>
      </c>
    </row>
    <row r="20" spans="2:13">
      <c r="C20" s="64" t="s">
        <v>65</v>
      </c>
      <c r="D20" s="64">
        <v>0</v>
      </c>
      <c r="E20" s="64">
        <v>1</v>
      </c>
    </row>
    <row r="21" spans="2:13">
      <c r="C21" s="64" t="s">
        <v>90</v>
      </c>
      <c r="D21" s="65" t="e">
        <f>C5</f>
        <v>#VALUE!</v>
      </c>
      <c r="E21" s="65">
        <f>F5</f>
        <v>0</v>
      </c>
    </row>
    <row r="22" spans="2:13">
      <c r="C22" s="64" t="s">
        <v>91</v>
      </c>
      <c r="D22" s="65" t="e">
        <f>L5</f>
        <v>#VALUE!</v>
      </c>
      <c r="E22" s="64">
        <f>O5</f>
        <v>0</v>
      </c>
    </row>
    <row r="23" spans="2:13">
      <c r="B23" s="80" t="s">
        <v>96</v>
      </c>
      <c r="D23" s="64" t="s">
        <v>92</v>
      </c>
      <c r="E23" s="64" t="s">
        <v>93</v>
      </c>
    </row>
    <row r="24" spans="2:13">
      <c r="C24" s="64" t="s">
        <v>65</v>
      </c>
      <c r="D24" s="64">
        <v>0</v>
      </c>
      <c r="E24" s="64">
        <v>1</v>
      </c>
    </row>
    <row r="25" spans="2:13">
      <c r="C25" s="64" t="s">
        <v>90</v>
      </c>
      <c r="D25" s="65" t="e">
        <f>C6</f>
        <v>#VALUE!</v>
      </c>
      <c r="E25" s="65">
        <f>F6</f>
        <v>0</v>
      </c>
    </row>
    <row r="26" spans="2:13">
      <c r="C26" s="64" t="s">
        <v>91</v>
      </c>
      <c r="D26" s="65" t="e">
        <f>L6</f>
        <v>#VALUE!</v>
      </c>
      <c r="E26" s="64">
        <f>O6</f>
        <v>0</v>
      </c>
    </row>
    <row r="27" spans="2:13">
      <c r="B27" s="80" t="s">
        <v>97</v>
      </c>
      <c r="D27" s="64" t="s">
        <v>92</v>
      </c>
      <c r="E27" s="64" t="s">
        <v>93</v>
      </c>
    </row>
    <row r="28" spans="2:13">
      <c r="C28" s="64" t="s">
        <v>65</v>
      </c>
      <c r="D28" s="64">
        <v>0</v>
      </c>
      <c r="E28" s="64">
        <v>1</v>
      </c>
    </row>
    <row r="29" spans="2:13">
      <c r="C29" s="64" t="s">
        <v>90</v>
      </c>
      <c r="D29" s="65" t="e">
        <f>C7</f>
        <v>#VALUE!</v>
      </c>
      <c r="E29" s="65">
        <f>F7</f>
        <v>0</v>
      </c>
    </row>
    <row r="30" spans="2:13">
      <c r="C30" s="64" t="s">
        <v>91</v>
      </c>
      <c r="D30" s="65" t="e">
        <f>L7</f>
        <v>#VALUE!</v>
      </c>
      <c r="E30" s="64">
        <f>O7</f>
        <v>0</v>
      </c>
    </row>
    <row r="31" spans="2:13">
      <c r="B31" s="80" t="s">
        <v>98</v>
      </c>
      <c r="D31" s="64" t="s">
        <v>92</v>
      </c>
      <c r="E31" s="64" t="s">
        <v>93</v>
      </c>
    </row>
    <row r="32" spans="2:13">
      <c r="C32" s="64" t="s">
        <v>65</v>
      </c>
      <c r="D32" s="64">
        <v>0</v>
      </c>
      <c r="E32" s="64">
        <v>1</v>
      </c>
    </row>
    <row r="33" spans="3:5">
      <c r="C33" s="64" t="s">
        <v>90</v>
      </c>
      <c r="D33" s="65" t="e">
        <f>C8</f>
        <v>#VALUE!</v>
      </c>
      <c r="E33" s="65">
        <f>F8</f>
        <v>0</v>
      </c>
    </row>
    <row r="34" spans="3:5">
      <c r="C34" s="64" t="s">
        <v>91</v>
      </c>
      <c r="D34" s="65" t="e">
        <f>L8</f>
        <v>#VALUE!</v>
      </c>
      <c r="E34" s="64">
        <f>O8</f>
        <v>0</v>
      </c>
    </row>
  </sheetData>
  <mergeCells count="5">
    <mergeCell ref="L2:N2"/>
    <mergeCell ref="B2:B3"/>
    <mergeCell ref="C2:E2"/>
    <mergeCell ref="C10:E10"/>
    <mergeCell ref="C11:E11"/>
  </mergeCells>
  <phoneticPr fontId="2" type="noConversion"/>
  <conditionalFormatting sqref="C4:E9">
    <cfRule type="cellIs" dxfId="47" priority="4" stopIfTrue="1" operator="between">
      <formula>-1</formula>
      <formula>1</formula>
    </cfRule>
    <cfRule type="cellIs" dxfId="46" priority="5" stopIfTrue="1" operator="lessThan">
      <formula>-3</formula>
    </cfRule>
    <cfRule type="cellIs" dxfId="45" priority="6" stopIfTrue="1" operator="greaterThan">
      <formula>3</formula>
    </cfRule>
  </conditionalFormatting>
  <conditionalFormatting sqref="L4:N9">
    <cfRule type="cellIs" dxfId="44" priority="1" stopIfTrue="1" operator="between">
      <formula>-1</formula>
      <formula>1</formula>
    </cfRule>
    <cfRule type="cellIs" dxfId="43" priority="2" stopIfTrue="1" operator="lessThan">
      <formula>-3</formula>
    </cfRule>
    <cfRule type="cellIs" dxfId="42" priority="3" stopIfTrue="1" operator="greaterThan">
      <formula>3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2E87-8AA5-4189-9668-92075D683AA0}">
  <sheetPr codeName="Sheet1"/>
  <dimension ref="A1:AI83"/>
  <sheetViews>
    <sheetView tabSelected="1" topLeftCell="A16" workbookViewId="0">
      <selection activeCell="X39" sqref="X39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60" hidden="1" customWidth="1"/>
    <col min="5" max="5" width="5.625" style="61" hidden="1" customWidth="1"/>
    <col min="6" max="6" width="7.5" style="62" hidden="1" customWidth="1"/>
    <col min="7" max="7" width="5.625" style="61" hidden="1" customWidth="1"/>
    <col min="8" max="8" width="7.5" style="61" hidden="1" customWidth="1"/>
    <col min="9" max="9" width="5.625" style="61" hidden="1" customWidth="1"/>
    <col min="10" max="10" width="7.5" style="61" hidden="1" customWidth="1"/>
    <col min="11" max="14" width="5.625" style="61" hidden="1" customWidth="1"/>
    <col min="15" max="15" width="0.125" style="61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0" style="1" hidden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29" width="0" style="1" hidden="1" customWidth="1"/>
    <col min="30" max="30" width="9" style="1" customWidth="1"/>
    <col min="31" max="34" width="9" style="1"/>
    <col min="35" max="35" width="12.125" style="1" bestFit="1" customWidth="1"/>
    <col min="36" max="256" width="9" style="1"/>
    <col min="257" max="257" width="6.25" style="1" bestFit="1" customWidth="1"/>
    <col min="258" max="258" width="11.125" style="1" bestFit="1" customWidth="1"/>
    <col min="259" max="259" width="6.25" style="1" customWidth="1"/>
    <col min="260" max="270" width="0" style="1" hidden="1" customWidth="1"/>
    <col min="271" max="271" width="0.125" style="1" customWidth="1"/>
    <col min="272" max="272" width="9" style="1"/>
    <col min="273" max="273" width="5.625" style="1" bestFit="1" customWidth="1"/>
    <col min="274" max="274" width="5.625" style="1" customWidth="1"/>
    <col min="275" max="275" width="5.625" style="1" bestFit="1" customWidth="1"/>
    <col min="276" max="278" width="9" style="1"/>
    <col min="279" max="279" width="6.875" style="1" bestFit="1" customWidth="1"/>
    <col min="280" max="280" width="9" style="1"/>
    <col min="281" max="283" width="5.625" style="1" customWidth="1"/>
    <col min="284" max="284" width="7.5" style="1" customWidth="1"/>
    <col min="285" max="512" width="9" style="1"/>
    <col min="513" max="513" width="6.25" style="1" bestFit="1" customWidth="1"/>
    <col min="514" max="514" width="11.125" style="1" bestFit="1" customWidth="1"/>
    <col min="515" max="515" width="6.25" style="1" customWidth="1"/>
    <col min="516" max="526" width="0" style="1" hidden="1" customWidth="1"/>
    <col min="527" max="527" width="0.125" style="1" customWidth="1"/>
    <col min="528" max="528" width="9" style="1"/>
    <col min="529" max="529" width="5.625" style="1" bestFit="1" customWidth="1"/>
    <col min="530" max="530" width="5.625" style="1" customWidth="1"/>
    <col min="531" max="531" width="5.625" style="1" bestFit="1" customWidth="1"/>
    <col min="532" max="534" width="9" style="1"/>
    <col min="535" max="535" width="6.875" style="1" bestFit="1" customWidth="1"/>
    <col min="536" max="536" width="9" style="1"/>
    <col min="537" max="539" width="5.625" style="1" customWidth="1"/>
    <col min="540" max="540" width="7.5" style="1" customWidth="1"/>
    <col min="541" max="768" width="9" style="1"/>
    <col min="769" max="769" width="6.25" style="1" bestFit="1" customWidth="1"/>
    <col min="770" max="770" width="11.125" style="1" bestFit="1" customWidth="1"/>
    <col min="771" max="771" width="6.25" style="1" customWidth="1"/>
    <col min="772" max="782" width="0" style="1" hidden="1" customWidth="1"/>
    <col min="783" max="783" width="0.125" style="1" customWidth="1"/>
    <col min="784" max="784" width="9" style="1"/>
    <col min="785" max="785" width="5.625" style="1" bestFit="1" customWidth="1"/>
    <col min="786" max="786" width="5.625" style="1" customWidth="1"/>
    <col min="787" max="787" width="5.625" style="1" bestFit="1" customWidth="1"/>
    <col min="788" max="790" width="9" style="1"/>
    <col min="791" max="791" width="6.875" style="1" bestFit="1" customWidth="1"/>
    <col min="792" max="792" width="9" style="1"/>
    <col min="793" max="795" width="5.625" style="1" customWidth="1"/>
    <col min="796" max="796" width="7.5" style="1" customWidth="1"/>
    <col min="797" max="1024" width="9" style="1"/>
    <col min="1025" max="1025" width="6.25" style="1" bestFit="1" customWidth="1"/>
    <col min="1026" max="1026" width="11.125" style="1" bestFit="1" customWidth="1"/>
    <col min="1027" max="1027" width="6.25" style="1" customWidth="1"/>
    <col min="1028" max="1038" width="0" style="1" hidden="1" customWidth="1"/>
    <col min="1039" max="1039" width="0.125" style="1" customWidth="1"/>
    <col min="1040" max="1040" width="9" style="1"/>
    <col min="1041" max="1041" width="5.625" style="1" bestFit="1" customWidth="1"/>
    <col min="1042" max="1042" width="5.625" style="1" customWidth="1"/>
    <col min="1043" max="1043" width="5.625" style="1" bestFit="1" customWidth="1"/>
    <col min="1044" max="1046" width="9" style="1"/>
    <col min="1047" max="1047" width="6.875" style="1" bestFit="1" customWidth="1"/>
    <col min="1048" max="1048" width="9" style="1"/>
    <col min="1049" max="1051" width="5.625" style="1" customWidth="1"/>
    <col min="1052" max="1052" width="7.5" style="1" customWidth="1"/>
    <col min="1053" max="1280" width="9" style="1"/>
    <col min="1281" max="1281" width="6.25" style="1" bestFit="1" customWidth="1"/>
    <col min="1282" max="1282" width="11.125" style="1" bestFit="1" customWidth="1"/>
    <col min="1283" max="1283" width="6.25" style="1" customWidth="1"/>
    <col min="1284" max="1294" width="0" style="1" hidden="1" customWidth="1"/>
    <col min="1295" max="1295" width="0.125" style="1" customWidth="1"/>
    <col min="1296" max="1296" width="9" style="1"/>
    <col min="1297" max="1297" width="5.625" style="1" bestFit="1" customWidth="1"/>
    <col min="1298" max="1298" width="5.625" style="1" customWidth="1"/>
    <col min="1299" max="1299" width="5.625" style="1" bestFit="1" customWidth="1"/>
    <col min="1300" max="1302" width="9" style="1"/>
    <col min="1303" max="1303" width="6.875" style="1" bestFit="1" customWidth="1"/>
    <col min="1304" max="1304" width="9" style="1"/>
    <col min="1305" max="1307" width="5.625" style="1" customWidth="1"/>
    <col min="1308" max="1308" width="7.5" style="1" customWidth="1"/>
    <col min="1309" max="1536" width="9" style="1"/>
    <col min="1537" max="1537" width="6.25" style="1" bestFit="1" customWidth="1"/>
    <col min="1538" max="1538" width="11.125" style="1" bestFit="1" customWidth="1"/>
    <col min="1539" max="1539" width="6.25" style="1" customWidth="1"/>
    <col min="1540" max="1550" width="0" style="1" hidden="1" customWidth="1"/>
    <col min="1551" max="1551" width="0.125" style="1" customWidth="1"/>
    <col min="1552" max="1552" width="9" style="1"/>
    <col min="1553" max="1553" width="5.625" style="1" bestFit="1" customWidth="1"/>
    <col min="1554" max="1554" width="5.625" style="1" customWidth="1"/>
    <col min="1555" max="1555" width="5.625" style="1" bestFit="1" customWidth="1"/>
    <col min="1556" max="1558" width="9" style="1"/>
    <col min="1559" max="1559" width="6.875" style="1" bestFit="1" customWidth="1"/>
    <col min="1560" max="1560" width="9" style="1"/>
    <col min="1561" max="1563" width="5.625" style="1" customWidth="1"/>
    <col min="1564" max="1564" width="7.5" style="1" customWidth="1"/>
    <col min="1565" max="1792" width="9" style="1"/>
    <col min="1793" max="1793" width="6.25" style="1" bestFit="1" customWidth="1"/>
    <col min="1794" max="1794" width="11.125" style="1" bestFit="1" customWidth="1"/>
    <col min="1795" max="1795" width="6.25" style="1" customWidth="1"/>
    <col min="1796" max="1806" width="0" style="1" hidden="1" customWidth="1"/>
    <col min="1807" max="1807" width="0.125" style="1" customWidth="1"/>
    <col min="1808" max="1808" width="9" style="1"/>
    <col min="1809" max="1809" width="5.625" style="1" bestFit="1" customWidth="1"/>
    <col min="1810" max="1810" width="5.625" style="1" customWidth="1"/>
    <col min="1811" max="1811" width="5.625" style="1" bestFit="1" customWidth="1"/>
    <col min="1812" max="1814" width="9" style="1"/>
    <col min="1815" max="1815" width="6.875" style="1" bestFit="1" customWidth="1"/>
    <col min="1816" max="1816" width="9" style="1"/>
    <col min="1817" max="1819" width="5.625" style="1" customWidth="1"/>
    <col min="1820" max="1820" width="7.5" style="1" customWidth="1"/>
    <col min="1821" max="2048" width="9" style="1"/>
    <col min="2049" max="2049" width="6.25" style="1" bestFit="1" customWidth="1"/>
    <col min="2050" max="2050" width="11.125" style="1" bestFit="1" customWidth="1"/>
    <col min="2051" max="2051" width="6.25" style="1" customWidth="1"/>
    <col min="2052" max="2062" width="0" style="1" hidden="1" customWidth="1"/>
    <col min="2063" max="2063" width="0.125" style="1" customWidth="1"/>
    <col min="2064" max="2064" width="9" style="1"/>
    <col min="2065" max="2065" width="5.625" style="1" bestFit="1" customWidth="1"/>
    <col min="2066" max="2066" width="5.625" style="1" customWidth="1"/>
    <col min="2067" max="2067" width="5.625" style="1" bestFit="1" customWidth="1"/>
    <col min="2068" max="2070" width="9" style="1"/>
    <col min="2071" max="2071" width="6.875" style="1" bestFit="1" customWidth="1"/>
    <col min="2072" max="2072" width="9" style="1"/>
    <col min="2073" max="2075" width="5.625" style="1" customWidth="1"/>
    <col min="2076" max="2076" width="7.5" style="1" customWidth="1"/>
    <col min="2077" max="2304" width="9" style="1"/>
    <col min="2305" max="2305" width="6.25" style="1" bestFit="1" customWidth="1"/>
    <col min="2306" max="2306" width="11.125" style="1" bestFit="1" customWidth="1"/>
    <col min="2307" max="2307" width="6.25" style="1" customWidth="1"/>
    <col min="2308" max="2318" width="0" style="1" hidden="1" customWidth="1"/>
    <col min="2319" max="2319" width="0.125" style="1" customWidth="1"/>
    <col min="2320" max="2320" width="9" style="1"/>
    <col min="2321" max="2321" width="5.625" style="1" bestFit="1" customWidth="1"/>
    <col min="2322" max="2322" width="5.625" style="1" customWidth="1"/>
    <col min="2323" max="2323" width="5.625" style="1" bestFit="1" customWidth="1"/>
    <col min="2324" max="2326" width="9" style="1"/>
    <col min="2327" max="2327" width="6.875" style="1" bestFit="1" customWidth="1"/>
    <col min="2328" max="2328" width="9" style="1"/>
    <col min="2329" max="2331" width="5.625" style="1" customWidth="1"/>
    <col min="2332" max="2332" width="7.5" style="1" customWidth="1"/>
    <col min="2333" max="2560" width="9" style="1"/>
    <col min="2561" max="2561" width="6.25" style="1" bestFit="1" customWidth="1"/>
    <col min="2562" max="2562" width="11.125" style="1" bestFit="1" customWidth="1"/>
    <col min="2563" max="2563" width="6.25" style="1" customWidth="1"/>
    <col min="2564" max="2574" width="0" style="1" hidden="1" customWidth="1"/>
    <col min="2575" max="2575" width="0.125" style="1" customWidth="1"/>
    <col min="2576" max="2576" width="9" style="1"/>
    <col min="2577" max="2577" width="5.625" style="1" bestFit="1" customWidth="1"/>
    <col min="2578" max="2578" width="5.625" style="1" customWidth="1"/>
    <col min="2579" max="2579" width="5.625" style="1" bestFit="1" customWidth="1"/>
    <col min="2580" max="2582" width="9" style="1"/>
    <col min="2583" max="2583" width="6.875" style="1" bestFit="1" customWidth="1"/>
    <col min="2584" max="2584" width="9" style="1"/>
    <col min="2585" max="2587" width="5.625" style="1" customWidth="1"/>
    <col min="2588" max="2588" width="7.5" style="1" customWidth="1"/>
    <col min="2589" max="2816" width="9" style="1"/>
    <col min="2817" max="2817" width="6.25" style="1" bestFit="1" customWidth="1"/>
    <col min="2818" max="2818" width="11.125" style="1" bestFit="1" customWidth="1"/>
    <col min="2819" max="2819" width="6.25" style="1" customWidth="1"/>
    <col min="2820" max="2830" width="0" style="1" hidden="1" customWidth="1"/>
    <col min="2831" max="2831" width="0.125" style="1" customWidth="1"/>
    <col min="2832" max="2832" width="9" style="1"/>
    <col min="2833" max="2833" width="5.625" style="1" bestFit="1" customWidth="1"/>
    <col min="2834" max="2834" width="5.625" style="1" customWidth="1"/>
    <col min="2835" max="2835" width="5.625" style="1" bestFit="1" customWidth="1"/>
    <col min="2836" max="2838" width="9" style="1"/>
    <col min="2839" max="2839" width="6.875" style="1" bestFit="1" customWidth="1"/>
    <col min="2840" max="2840" width="9" style="1"/>
    <col min="2841" max="2843" width="5.625" style="1" customWidth="1"/>
    <col min="2844" max="2844" width="7.5" style="1" customWidth="1"/>
    <col min="2845" max="3072" width="9" style="1"/>
    <col min="3073" max="3073" width="6.25" style="1" bestFit="1" customWidth="1"/>
    <col min="3074" max="3074" width="11.125" style="1" bestFit="1" customWidth="1"/>
    <col min="3075" max="3075" width="6.25" style="1" customWidth="1"/>
    <col min="3076" max="3086" width="0" style="1" hidden="1" customWidth="1"/>
    <col min="3087" max="3087" width="0.125" style="1" customWidth="1"/>
    <col min="3088" max="3088" width="9" style="1"/>
    <col min="3089" max="3089" width="5.625" style="1" bestFit="1" customWidth="1"/>
    <col min="3090" max="3090" width="5.625" style="1" customWidth="1"/>
    <col min="3091" max="3091" width="5.625" style="1" bestFit="1" customWidth="1"/>
    <col min="3092" max="3094" width="9" style="1"/>
    <col min="3095" max="3095" width="6.875" style="1" bestFit="1" customWidth="1"/>
    <col min="3096" max="3096" width="9" style="1"/>
    <col min="3097" max="3099" width="5.625" style="1" customWidth="1"/>
    <col min="3100" max="3100" width="7.5" style="1" customWidth="1"/>
    <col min="3101" max="3328" width="9" style="1"/>
    <col min="3329" max="3329" width="6.25" style="1" bestFit="1" customWidth="1"/>
    <col min="3330" max="3330" width="11.125" style="1" bestFit="1" customWidth="1"/>
    <col min="3331" max="3331" width="6.25" style="1" customWidth="1"/>
    <col min="3332" max="3342" width="0" style="1" hidden="1" customWidth="1"/>
    <col min="3343" max="3343" width="0.125" style="1" customWidth="1"/>
    <col min="3344" max="3344" width="9" style="1"/>
    <col min="3345" max="3345" width="5.625" style="1" bestFit="1" customWidth="1"/>
    <col min="3346" max="3346" width="5.625" style="1" customWidth="1"/>
    <col min="3347" max="3347" width="5.625" style="1" bestFit="1" customWidth="1"/>
    <col min="3348" max="3350" width="9" style="1"/>
    <col min="3351" max="3351" width="6.875" style="1" bestFit="1" customWidth="1"/>
    <col min="3352" max="3352" width="9" style="1"/>
    <col min="3353" max="3355" width="5.625" style="1" customWidth="1"/>
    <col min="3356" max="3356" width="7.5" style="1" customWidth="1"/>
    <col min="3357" max="3584" width="9" style="1"/>
    <col min="3585" max="3585" width="6.25" style="1" bestFit="1" customWidth="1"/>
    <col min="3586" max="3586" width="11.125" style="1" bestFit="1" customWidth="1"/>
    <col min="3587" max="3587" width="6.25" style="1" customWidth="1"/>
    <col min="3588" max="3598" width="0" style="1" hidden="1" customWidth="1"/>
    <col min="3599" max="3599" width="0.125" style="1" customWidth="1"/>
    <col min="3600" max="3600" width="9" style="1"/>
    <col min="3601" max="3601" width="5.625" style="1" bestFit="1" customWidth="1"/>
    <col min="3602" max="3602" width="5.625" style="1" customWidth="1"/>
    <col min="3603" max="3603" width="5.625" style="1" bestFit="1" customWidth="1"/>
    <col min="3604" max="3606" width="9" style="1"/>
    <col min="3607" max="3607" width="6.875" style="1" bestFit="1" customWidth="1"/>
    <col min="3608" max="3608" width="9" style="1"/>
    <col min="3609" max="3611" width="5.625" style="1" customWidth="1"/>
    <col min="3612" max="3612" width="7.5" style="1" customWidth="1"/>
    <col min="3613" max="3840" width="9" style="1"/>
    <col min="3841" max="3841" width="6.25" style="1" bestFit="1" customWidth="1"/>
    <col min="3842" max="3842" width="11.125" style="1" bestFit="1" customWidth="1"/>
    <col min="3843" max="3843" width="6.25" style="1" customWidth="1"/>
    <col min="3844" max="3854" width="0" style="1" hidden="1" customWidth="1"/>
    <col min="3855" max="3855" width="0.125" style="1" customWidth="1"/>
    <col min="3856" max="3856" width="9" style="1"/>
    <col min="3857" max="3857" width="5.625" style="1" bestFit="1" customWidth="1"/>
    <col min="3858" max="3858" width="5.625" style="1" customWidth="1"/>
    <col min="3859" max="3859" width="5.625" style="1" bestFit="1" customWidth="1"/>
    <col min="3860" max="3862" width="9" style="1"/>
    <col min="3863" max="3863" width="6.875" style="1" bestFit="1" customWidth="1"/>
    <col min="3864" max="3864" width="9" style="1"/>
    <col min="3865" max="3867" width="5.625" style="1" customWidth="1"/>
    <col min="3868" max="3868" width="7.5" style="1" customWidth="1"/>
    <col min="3869" max="4096" width="9" style="1"/>
    <col min="4097" max="4097" width="6.25" style="1" bestFit="1" customWidth="1"/>
    <col min="4098" max="4098" width="11.125" style="1" bestFit="1" customWidth="1"/>
    <col min="4099" max="4099" width="6.25" style="1" customWidth="1"/>
    <col min="4100" max="4110" width="0" style="1" hidden="1" customWidth="1"/>
    <col min="4111" max="4111" width="0.125" style="1" customWidth="1"/>
    <col min="4112" max="4112" width="9" style="1"/>
    <col min="4113" max="4113" width="5.625" style="1" bestFit="1" customWidth="1"/>
    <col min="4114" max="4114" width="5.625" style="1" customWidth="1"/>
    <col min="4115" max="4115" width="5.625" style="1" bestFit="1" customWidth="1"/>
    <col min="4116" max="4118" width="9" style="1"/>
    <col min="4119" max="4119" width="6.875" style="1" bestFit="1" customWidth="1"/>
    <col min="4120" max="4120" width="9" style="1"/>
    <col min="4121" max="4123" width="5.625" style="1" customWidth="1"/>
    <col min="4124" max="4124" width="7.5" style="1" customWidth="1"/>
    <col min="4125" max="4352" width="9" style="1"/>
    <col min="4353" max="4353" width="6.25" style="1" bestFit="1" customWidth="1"/>
    <col min="4354" max="4354" width="11.125" style="1" bestFit="1" customWidth="1"/>
    <col min="4355" max="4355" width="6.25" style="1" customWidth="1"/>
    <col min="4356" max="4366" width="0" style="1" hidden="1" customWidth="1"/>
    <col min="4367" max="4367" width="0.125" style="1" customWidth="1"/>
    <col min="4368" max="4368" width="9" style="1"/>
    <col min="4369" max="4369" width="5.625" style="1" bestFit="1" customWidth="1"/>
    <col min="4370" max="4370" width="5.625" style="1" customWidth="1"/>
    <col min="4371" max="4371" width="5.625" style="1" bestFit="1" customWidth="1"/>
    <col min="4372" max="4374" width="9" style="1"/>
    <col min="4375" max="4375" width="6.875" style="1" bestFit="1" customWidth="1"/>
    <col min="4376" max="4376" width="9" style="1"/>
    <col min="4377" max="4379" width="5.625" style="1" customWidth="1"/>
    <col min="4380" max="4380" width="7.5" style="1" customWidth="1"/>
    <col min="4381" max="4608" width="9" style="1"/>
    <col min="4609" max="4609" width="6.25" style="1" bestFit="1" customWidth="1"/>
    <col min="4610" max="4610" width="11.125" style="1" bestFit="1" customWidth="1"/>
    <col min="4611" max="4611" width="6.25" style="1" customWidth="1"/>
    <col min="4612" max="4622" width="0" style="1" hidden="1" customWidth="1"/>
    <col min="4623" max="4623" width="0.125" style="1" customWidth="1"/>
    <col min="4624" max="4624" width="9" style="1"/>
    <col min="4625" max="4625" width="5.625" style="1" bestFit="1" customWidth="1"/>
    <col min="4626" max="4626" width="5.625" style="1" customWidth="1"/>
    <col min="4627" max="4627" width="5.625" style="1" bestFit="1" customWidth="1"/>
    <col min="4628" max="4630" width="9" style="1"/>
    <col min="4631" max="4631" width="6.875" style="1" bestFit="1" customWidth="1"/>
    <col min="4632" max="4632" width="9" style="1"/>
    <col min="4633" max="4635" width="5.625" style="1" customWidth="1"/>
    <col min="4636" max="4636" width="7.5" style="1" customWidth="1"/>
    <col min="4637" max="4864" width="9" style="1"/>
    <col min="4865" max="4865" width="6.25" style="1" bestFit="1" customWidth="1"/>
    <col min="4866" max="4866" width="11.125" style="1" bestFit="1" customWidth="1"/>
    <col min="4867" max="4867" width="6.25" style="1" customWidth="1"/>
    <col min="4868" max="4878" width="0" style="1" hidden="1" customWidth="1"/>
    <col min="4879" max="4879" width="0.125" style="1" customWidth="1"/>
    <col min="4880" max="4880" width="9" style="1"/>
    <col min="4881" max="4881" width="5.625" style="1" bestFit="1" customWidth="1"/>
    <col min="4882" max="4882" width="5.625" style="1" customWidth="1"/>
    <col min="4883" max="4883" width="5.625" style="1" bestFit="1" customWidth="1"/>
    <col min="4884" max="4886" width="9" style="1"/>
    <col min="4887" max="4887" width="6.875" style="1" bestFit="1" customWidth="1"/>
    <col min="4888" max="4888" width="9" style="1"/>
    <col min="4889" max="4891" width="5.625" style="1" customWidth="1"/>
    <col min="4892" max="4892" width="7.5" style="1" customWidth="1"/>
    <col min="4893" max="5120" width="9" style="1"/>
    <col min="5121" max="5121" width="6.25" style="1" bestFit="1" customWidth="1"/>
    <col min="5122" max="5122" width="11.125" style="1" bestFit="1" customWidth="1"/>
    <col min="5123" max="5123" width="6.25" style="1" customWidth="1"/>
    <col min="5124" max="5134" width="0" style="1" hidden="1" customWidth="1"/>
    <col min="5135" max="5135" width="0.125" style="1" customWidth="1"/>
    <col min="5136" max="5136" width="9" style="1"/>
    <col min="5137" max="5137" width="5.625" style="1" bestFit="1" customWidth="1"/>
    <col min="5138" max="5138" width="5.625" style="1" customWidth="1"/>
    <col min="5139" max="5139" width="5.625" style="1" bestFit="1" customWidth="1"/>
    <col min="5140" max="5142" width="9" style="1"/>
    <col min="5143" max="5143" width="6.875" style="1" bestFit="1" customWidth="1"/>
    <col min="5144" max="5144" width="9" style="1"/>
    <col min="5145" max="5147" width="5.625" style="1" customWidth="1"/>
    <col min="5148" max="5148" width="7.5" style="1" customWidth="1"/>
    <col min="5149" max="5376" width="9" style="1"/>
    <col min="5377" max="5377" width="6.25" style="1" bestFit="1" customWidth="1"/>
    <col min="5378" max="5378" width="11.125" style="1" bestFit="1" customWidth="1"/>
    <col min="5379" max="5379" width="6.25" style="1" customWidth="1"/>
    <col min="5380" max="5390" width="0" style="1" hidden="1" customWidth="1"/>
    <col min="5391" max="5391" width="0.125" style="1" customWidth="1"/>
    <col min="5392" max="5392" width="9" style="1"/>
    <col min="5393" max="5393" width="5.625" style="1" bestFit="1" customWidth="1"/>
    <col min="5394" max="5394" width="5.625" style="1" customWidth="1"/>
    <col min="5395" max="5395" width="5.625" style="1" bestFit="1" customWidth="1"/>
    <col min="5396" max="5398" width="9" style="1"/>
    <col min="5399" max="5399" width="6.875" style="1" bestFit="1" customWidth="1"/>
    <col min="5400" max="5400" width="9" style="1"/>
    <col min="5401" max="5403" width="5.625" style="1" customWidth="1"/>
    <col min="5404" max="5404" width="7.5" style="1" customWidth="1"/>
    <col min="5405" max="5632" width="9" style="1"/>
    <col min="5633" max="5633" width="6.25" style="1" bestFit="1" customWidth="1"/>
    <col min="5634" max="5634" width="11.125" style="1" bestFit="1" customWidth="1"/>
    <col min="5635" max="5635" width="6.25" style="1" customWidth="1"/>
    <col min="5636" max="5646" width="0" style="1" hidden="1" customWidth="1"/>
    <col min="5647" max="5647" width="0.125" style="1" customWidth="1"/>
    <col min="5648" max="5648" width="9" style="1"/>
    <col min="5649" max="5649" width="5.625" style="1" bestFit="1" customWidth="1"/>
    <col min="5650" max="5650" width="5.625" style="1" customWidth="1"/>
    <col min="5651" max="5651" width="5.625" style="1" bestFit="1" customWidth="1"/>
    <col min="5652" max="5654" width="9" style="1"/>
    <col min="5655" max="5655" width="6.875" style="1" bestFit="1" customWidth="1"/>
    <col min="5656" max="5656" width="9" style="1"/>
    <col min="5657" max="5659" width="5.625" style="1" customWidth="1"/>
    <col min="5660" max="5660" width="7.5" style="1" customWidth="1"/>
    <col min="5661" max="5888" width="9" style="1"/>
    <col min="5889" max="5889" width="6.25" style="1" bestFit="1" customWidth="1"/>
    <col min="5890" max="5890" width="11.125" style="1" bestFit="1" customWidth="1"/>
    <col min="5891" max="5891" width="6.25" style="1" customWidth="1"/>
    <col min="5892" max="5902" width="0" style="1" hidden="1" customWidth="1"/>
    <col min="5903" max="5903" width="0.125" style="1" customWidth="1"/>
    <col min="5904" max="5904" width="9" style="1"/>
    <col min="5905" max="5905" width="5.625" style="1" bestFit="1" customWidth="1"/>
    <col min="5906" max="5906" width="5.625" style="1" customWidth="1"/>
    <col min="5907" max="5907" width="5.625" style="1" bestFit="1" customWidth="1"/>
    <col min="5908" max="5910" width="9" style="1"/>
    <col min="5911" max="5911" width="6.875" style="1" bestFit="1" customWidth="1"/>
    <col min="5912" max="5912" width="9" style="1"/>
    <col min="5913" max="5915" width="5.625" style="1" customWidth="1"/>
    <col min="5916" max="5916" width="7.5" style="1" customWidth="1"/>
    <col min="5917" max="6144" width="9" style="1"/>
    <col min="6145" max="6145" width="6.25" style="1" bestFit="1" customWidth="1"/>
    <col min="6146" max="6146" width="11.125" style="1" bestFit="1" customWidth="1"/>
    <col min="6147" max="6147" width="6.25" style="1" customWidth="1"/>
    <col min="6148" max="6158" width="0" style="1" hidden="1" customWidth="1"/>
    <col min="6159" max="6159" width="0.125" style="1" customWidth="1"/>
    <col min="6160" max="6160" width="9" style="1"/>
    <col min="6161" max="6161" width="5.625" style="1" bestFit="1" customWidth="1"/>
    <col min="6162" max="6162" width="5.625" style="1" customWidth="1"/>
    <col min="6163" max="6163" width="5.625" style="1" bestFit="1" customWidth="1"/>
    <col min="6164" max="6166" width="9" style="1"/>
    <col min="6167" max="6167" width="6.875" style="1" bestFit="1" customWidth="1"/>
    <col min="6168" max="6168" width="9" style="1"/>
    <col min="6169" max="6171" width="5.625" style="1" customWidth="1"/>
    <col min="6172" max="6172" width="7.5" style="1" customWidth="1"/>
    <col min="6173" max="6400" width="9" style="1"/>
    <col min="6401" max="6401" width="6.25" style="1" bestFit="1" customWidth="1"/>
    <col min="6402" max="6402" width="11.125" style="1" bestFit="1" customWidth="1"/>
    <col min="6403" max="6403" width="6.25" style="1" customWidth="1"/>
    <col min="6404" max="6414" width="0" style="1" hidden="1" customWidth="1"/>
    <col min="6415" max="6415" width="0.125" style="1" customWidth="1"/>
    <col min="6416" max="6416" width="9" style="1"/>
    <col min="6417" max="6417" width="5.625" style="1" bestFit="1" customWidth="1"/>
    <col min="6418" max="6418" width="5.625" style="1" customWidth="1"/>
    <col min="6419" max="6419" width="5.625" style="1" bestFit="1" customWidth="1"/>
    <col min="6420" max="6422" width="9" style="1"/>
    <col min="6423" max="6423" width="6.875" style="1" bestFit="1" customWidth="1"/>
    <col min="6424" max="6424" width="9" style="1"/>
    <col min="6425" max="6427" width="5.625" style="1" customWidth="1"/>
    <col min="6428" max="6428" width="7.5" style="1" customWidth="1"/>
    <col min="6429" max="6656" width="9" style="1"/>
    <col min="6657" max="6657" width="6.25" style="1" bestFit="1" customWidth="1"/>
    <col min="6658" max="6658" width="11.125" style="1" bestFit="1" customWidth="1"/>
    <col min="6659" max="6659" width="6.25" style="1" customWidth="1"/>
    <col min="6660" max="6670" width="0" style="1" hidden="1" customWidth="1"/>
    <col min="6671" max="6671" width="0.125" style="1" customWidth="1"/>
    <col min="6672" max="6672" width="9" style="1"/>
    <col min="6673" max="6673" width="5.625" style="1" bestFit="1" customWidth="1"/>
    <col min="6674" max="6674" width="5.625" style="1" customWidth="1"/>
    <col min="6675" max="6675" width="5.625" style="1" bestFit="1" customWidth="1"/>
    <col min="6676" max="6678" width="9" style="1"/>
    <col min="6679" max="6679" width="6.875" style="1" bestFit="1" customWidth="1"/>
    <col min="6680" max="6680" width="9" style="1"/>
    <col min="6681" max="6683" width="5.625" style="1" customWidth="1"/>
    <col min="6684" max="6684" width="7.5" style="1" customWidth="1"/>
    <col min="6685" max="6912" width="9" style="1"/>
    <col min="6913" max="6913" width="6.25" style="1" bestFit="1" customWidth="1"/>
    <col min="6914" max="6914" width="11.125" style="1" bestFit="1" customWidth="1"/>
    <col min="6915" max="6915" width="6.25" style="1" customWidth="1"/>
    <col min="6916" max="6926" width="0" style="1" hidden="1" customWidth="1"/>
    <col min="6927" max="6927" width="0.125" style="1" customWidth="1"/>
    <col min="6928" max="6928" width="9" style="1"/>
    <col min="6929" max="6929" width="5.625" style="1" bestFit="1" customWidth="1"/>
    <col min="6930" max="6930" width="5.625" style="1" customWidth="1"/>
    <col min="6931" max="6931" width="5.625" style="1" bestFit="1" customWidth="1"/>
    <col min="6932" max="6934" width="9" style="1"/>
    <col min="6935" max="6935" width="6.875" style="1" bestFit="1" customWidth="1"/>
    <col min="6936" max="6936" width="9" style="1"/>
    <col min="6937" max="6939" width="5.625" style="1" customWidth="1"/>
    <col min="6940" max="6940" width="7.5" style="1" customWidth="1"/>
    <col min="6941" max="7168" width="9" style="1"/>
    <col min="7169" max="7169" width="6.25" style="1" bestFit="1" customWidth="1"/>
    <col min="7170" max="7170" width="11.125" style="1" bestFit="1" customWidth="1"/>
    <col min="7171" max="7171" width="6.25" style="1" customWidth="1"/>
    <col min="7172" max="7182" width="0" style="1" hidden="1" customWidth="1"/>
    <col min="7183" max="7183" width="0.125" style="1" customWidth="1"/>
    <col min="7184" max="7184" width="9" style="1"/>
    <col min="7185" max="7185" width="5.625" style="1" bestFit="1" customWidth="1"/>
    <col min="7186" max="7186" width="5.625" style="1" customWidth="1"/>
    <col min="7187" max="7187" width="5.625" style="1" bestFit="1" customWidth="1"/>
    <col min="7188" max="7190" width="9" style="1"/>
    <col min="7191" max="7191" width="6.875" style="1" bestFit="1" customWidth="1"/>
    <col min="7192" max="7192" width="9" style="1"/>
    <col min="7193" max="7195" width="5.625" style="1" customWidth="1"/>
    <col min="7196" max="7196" width="7.5" style="1" customWidth="1"/>
    <col min="7197" max="7424" width="9" style="1"/>
    <col min="7425" max="7425" width="6.25" style="1" bestFit="1" customWidth="1"/>
    <col min="7426" max="7426" width="11.125" style="1" bestFit="1" customWidth="1"/>
    <col min="7427" max="7427" width="6.25" style="1" customWidth="1"/>
    <col min="7428" max="7438" width="0" style="1" hidden="1" customWidth="1"/>
    <col min="7439" max="7439" width="0.125" style="1" customWidth="1"/>
    <col min="7440" max="7440" width="9" style="1"/>
    <col min="7441" max="7441" width="5.625" style="1" bestFit="1" customWidth="1"/>
    <col min="7442" max="7442" width="5.625" style="1" customWidth="1"/>
    <col min="7443" max="7443" width="5.625" style="1" bestFit="1" customWidth="1"/>
    <col min="7444" max="7446" width="9" style="1"/>
    <col min="7447" max="7447" width="6.875" style="1" bestFit="1" customWidth="1"/>
    <col min="7448" max="7448" width="9" style="1"/>
    <col min="7449" max="7451" width="5.625" style="1" customWidth="1"/>
    <col min="7452" max="7452" width="7.5" style="1" customWidth="1"/>
    <col min="7453" max="7680" width="9" style="1"/>
    <col min="7681" max="7681" width="6.25" style="1" bestFit="1" customWidth="1"/>
    <col min="7682" max="7682" width="11.125" style="1" bestFit="1" customWidth="1"/>
    <col min="7683" max="7683" width="6.25" style="1" customWidth="1"/>
    <col min="7684" max="7694" width="0" style="1" hidden="1" customWidth="1"/>
    <col min="7695" max="7695" width="0.125" style="1" customWidth="1"/>
    <col min="7696" max="7696" width="9" style="1"/>
    <col min="7697" max="7697" width="5.625" style="1" bestFit="1" customWidth="1"/>
    <col min="7698" max="7698" width="5.625" style="1" customWidth="1"/>
    <col min="7699" max="7699" width="5.625" style="1" bestFit="1" customWidth="1"/>
    <col min="7700" max="7702" width="9" style="1"/>
    <col min="7703" max="7703" width="6.875" style="1" bestFit="1" customWidth="1"/>
    <col min="7704" max="7704" width="9" style="1"/>
    <col min="7705" max="7707" width="5.625" style="1" customWidth="1"/>
    <col min="7708" max="7708" width="7.5" style="1" customWidth="1"/>
    <col min="7709" max="7936" width="9" style="1"/>
    <col min="7937" max="7937" width="6.25" style="1" bestFit="1" customWidth="1"/>
    <col min="7938" max="7938" width="11.125" style="1" bestFit="1" customWidth="1"/>
    <col min="7939" max="7939" width="6.25" style="1" customWidth="1"/>
    <col min="7940" max="7950" width="0" style="1" hidden="1" customWidth="1"/>
    <col min="7951" max="7951" width="0.125" style="1" customWidth="1"/>
    <col min="7952" max="7952" width="9" style="1"/>
    <col min="7953" max="7953" width="5.625" style="1" bestFit="1" customWidth="1"/>
    <col min="7954" max="7954" width="5.625" style="1" customWidth="1"/>
    <col min="7955" max="7955" width="5.625" style="1" bestFit="1" customWidth="1"/>
    <col min="7956" max="7958" width="9" style="1"/>
    <col min="7959" max="7959" width="6.875" style="1" bestFit="1" customWidth="1"/>
    <col min="7960" max="7960" width="9" style="1"/>
    <col min="7961" max="7963" width="5.625" style="1" customWidth="1"/>
    <col min="7964" max="7964" width="7.5" style="1" customWidth="1"/>
    <col min="7965" max="8192" width="9" style="1"/>
    <col min="8193" max="8193" width="6.25" style="1" bestFit="1" customWidth="1"/>
    <col min="8194" max="8194" width="11.125" style="1" bestFit="1" customWidth="1"/>
    <col min="8195" max="8195" width="6.25" style="1" customWidth="1"/>
    <col min="8196" max="8206" width="0" style="1" hidden="1" customWidth="1"/>
    <col min="8207" max="8207" width="0.125" style="1" customWidth="1"/>
    <col min="8208" max="8208" width="9" style="1"/>
    <col min="8209" max="8209" width="5.625" style="1" bestFit="1" customWidth="1"/>
    <col min="8210" max="8210" width="5.625" style="1" customWidth="1"/>
    <col min="8211" max="8211" width="5.625" style="1" bestFit="1" customWidth="1"/>
    <col min="8212" max="8214" width="9" style="1"/>
    <col min="8215" max="8215" width="6.875" style="1" bestFit="1" customWidth="1"/>
    <col min="8216" max="8216" width="9" style="1"/>
    <col min="8217" max="8219" width="5.625" style="1" customWidth="1"/>
    <col min="8220" max="8220" width="7.5" style="1" customWidth="1"/>
    <col min="8221" max="8448" width="9" style="1"/>
    <col min="8449" max="8449" width="6.25" style="1" bestFit="1" customWidth="1"/>
    <col min="8450" max="8450" width="11.125" style="1" bestFit="1" customWidth="1"/>
    <col min="8451" max="8451" width="6.25" style="1" customWidth="1"/>
    <col min="8452" max="8462" width="0" style="1" hidden="1" customWidth="1"/>
    <col min="8463" max="8463" width="0.125" style="1" customWidth="1"/>
    <col min="8464" max="8464" width="9" style="1"/>
    <col min="8465" max="8465" width="5.625" style="1" bestFit="1" customWidth="1"/>
    <col min="8466" max="8466" width="5.625" style="1" customWidth="1"/>
    <col min="8467" max="8467" width="5.625" style="1" bestFit="1" customWidth="1"/>
    <col min="8468" max="8470" width="9" style="1"/>
    <col min="8471" max="8471" width="6.875" style="1" bestFit="1" customWidth="1"/>
    <col min="8472" max="8472" width="9" style="1"/>
    <col min="8473" max="8475" width="5.625" style="1" customWidth="1"/>
    <col min="8476" max="8476" width="7.5" style="1" customWidth="1"/>
    <col min="8477" max="8704" width="9" style="1"/>
    <col min="8705" max="8705" width="6.25" style="1" bestFit="1" customWidth="1"/>
    <col min="8706" max="8706" width="11.125" style="1" bestFit="1" customWidth="1"/>
    <col min="8707" max="8707" width="6.25" style="1" customWidth="1"/>
    <col min="8708" max="8718" width="0" style="1" hidden="1" customWidth="1"/>
    <col min="8719" max="8719" width="0.125" style="1" customWidth="1"/>
    <col min="8720" max="8720" width="9" style="1"/>
    <col min="8721" max="8721" width="5.625" style="1" bestFit="1" customWidth="1"/>
    <col min="8722" max="8722" width="5.625" style="1" customWidth="1"/>
    <col min="8723" max="8723" width="5.625" style="1" bestFit="1" customWidth="1"/>
    <col min="8724" max="8726" width="9" style="1"/>
    <col min="8727" max="8727" width="6.875" style="1" bestFit="1" customWidth="1"/>
    <col min="8728" max="8728" width="9" style="1"/>
    <col min="8729" max="8731" width="5.625" style="1" customWidth="1"/>
    <col min="8732" max="8732" width="7.5" style="1" customWidth="1"/>
    <col min="8733" max="8960" width="9" style="1"/>
    <col min="8961" max="8961" width="6.25" style="1" bestFit="1" customWidth="1"/>
    <col min="8962" max="8962" width="11.125" style="1" bestFit="1" customWidth="1"/>
    <col min="8963" max="8963" width="6.25" style="1" customWidth="1"/>
    <col min="8964" max="8974" width="0" style="1" hidden="1" customWidth="1"/>
    <col min="8975" max="8975" width="0.125" style="1" customWidth="1"/>
    <col min="8976" max="8976" width="9" style="1"/>
    <col min="8977" max="8977" width="5.625" style="1" bestFit="1" customWidth="1"/>
    <col min="8978" max="8978" width="5.625" style="1" customWidth="1"/>
    <col min="8979" max="8979" width="5.625" style="1" bestFit="1" customWidth="1"/>
    <col min="8980" max="8982" width="9" style="1"/>
    <col min="8983" max="8983" width="6.875" style="1" bestFit="1" customWidth="1"/>
    <col min="8984" max="8984" width="9" style="1"/>
    <col min="8985" max="8987" width="5.625" style="1" customWidth="1"/>
    <col min="8988" max="8988" width="7.5" style="1" customWidth="1"/>
    <col min="8989" max="9216" width="9" style="1"/>
    <col min="9217" max="9217" width="6.25" style="1" bestFit="1" customWidth="1"/>
    <col min="9218" max="9218" width="11.125" style="1" bestFit="1" customWidth="1"/>
    <col min="9219" max="9219" width="6.25" style="1" customWidth="1"/>
    <col min="9220" max="9230" width="0" style="1" hidden="1" customWidth="1"/>
    <col min="9231" max="9231" width="0.125" style="1" customWidth="1"/>
    <col min="9232" max="9232" width="9" style="1"/>
    <col min="9233" max="9233" width="5.625" style="1" bestFit="1" customWidth="1"/>
    <col min="9234" max="9234" width="5.625" style="1" customWidth="1"/>
    <col min="9235" max="9235" width="5.625" style="1" bestFit="1" customWidth="1"/>
    <col min="9236" max="9238" width="9" style="1"/>
    <col min="9239" max="9239" width="6.875" style="1" bestFit="1" customWidth="1"/>
    <col min="9240" max="9240" width="9" style="1"/>
    <col min="9241" max="9243" width="5.625" style="1" customWidth="1"/>
    <col min="9244" max="9244" width="7.5" style="1" customWidth="1"/>
    <col min="9245" max="9472" width="9" style="1"/>
    <col min="9473" max="9473" width="6.25" style="1" bestFit="1" customWidth="1"/>
    <col min="9474" max="9474" width="11.125" style="1" bestFit="1" customWidth="1"/>
    <col min="9475" max="9475" width="6.25" style="1" customWidth="1"/>
    <col min="9476" max="9486" width="0" style="1" hidden="1" customWidth="1"/>
    <col min="9487" max="9487" width="0.125" style="1" customWidth="1"/>
    <col min="9488" max="9488" width="9" style="1"/>
    <col min="9489" max="9489" width="5.625" style="1" bestFit="1" customWidth="1"/>
    <col min="9490" max="9490" width="5.625" style="1" customWidth="1"/>
    <col min="9491" max="9491" width="5.625" style="1" bestFit="1" customWidth="1"/>
    <col min="9492" max="9494" width="9" style="1"/>
    <col min="9495" max="9495" width="6.875" style="1" bestFit="1" customWidth="1"/>
    <col min="9496" max="9496" width="9" style="1"/>
    <col min="9497" max="9499" width="5.625" style="1" customWidth="1"/>
    <col min="9500" max="9500" width="7.5" style="1" customWidth="1"/>
    <col min="9501" max="9728" width="9" style="1"/>
    <col min="9729" max="9729" width="6.25" style="1" bestFit="1" customWidth="1"/>
    <col min="9730" max="9730" width="11.125" style="1" bestFit="1" customWidth="1"/>
    <col min="9731" max="9731" width="6.25" style="1" customWidth="1"/>
    <col min="9732" max="9742" width="0" style="1" hidden="1" customWidth="1"/>
    <col min="9743" max="9743" width="0.125" style="1" customWidth="1"/>
    <col min="9744" max="9744" width="9" style="1"/>
    <col min="9745" max="9745" width="5.625" style="1" bestFit="1" customWidth="1"/>
    <col min="9746" max="9746" width="5.625" style="1" customWidth="1"/>
    <col min="9747" max="9747" width="5.625" style="1" bestFit="1" customWidth="1"/>
    <col min="9748" max="9750" width="9" style="1"/>
    <col min="9751" max="9751" width="6.875" style="1" bestFit="1" customWidth="1"/>
    <col min="9752" max="9752" width="9" style="1"/>
    <col min="9753" max="9755" width="5.625" style="1" customWidth="1"/>
    <col min="9756" max="9756" width="7.5" style="1" customWidth="1"/>
    <col min="9757" max="9984" width="9" style="1"/>
    <col min="9985" max="9985" width="6.25" style="1" bestFit="1" customWidth="1"/>
    <col min="9986" max="9986" width="11.125" style="1" bestFit="1" customWidth="1"/>
    <col min="9987" max="9987" width="6.25" style="1" customWidth="1"/>
    <col min="9988" max="9998" width="0" style="1" hidden="1" customWidth="1"/>
    <col min="9999" max="9999" width="0.125" style="1" customWidth="1"/>
    <col min="10000" max="10000" width="9" style="1"/>
    <col min="10001" max="10001" width="5.625" style="1" bestFit="1" customWidth="1"/>
    <col min="10002" max="10002" width="5.625" style="1" customWidth="1"/>
    <col min="10003" max="10003" width="5.625" style="1" bestFit="1" customWidth="1"/>
    <col min="10004" max="10006" width="9" style="1"/>
    <col min="10007" max="10007" width="6.875" style="1" bestFit="1" customWidth="1"/>
    <col min="10008" max="10008" width="9" style="1"/>
    <col min="10009" max="10011" width="5.625" style="1" customWidth="1"/>
    <col min="10012" max="10012" width="7.5" style="1" customWidth="1"/>
    <col min="10013" max="10240" width="9" style="1"/>
    <col min="10241" max="10241" width="6.25" style="1" bestFit="1" customWidth="1"/>
    <col min="10242" max="10242" width="11.125" style="1" bestFit="1" customWidth="1"/>
    <col min="10243" max="10243" width="6.25" style="1" customWidth="1"/>
    <col min="10244" max="10254" width="0" style="1" hidden="1" customWidth="1"/>
    <col min="10255" max="10255" width="0.125" style="1" customWidth="1"/>
    <col min="10256" max="10256" width="9" style="1"/>
    <col min="10257" max="10257" width="5.625" style="1" bestFit="1" customWidth="1"/>
    <col min="10258" max="10258" width="5.625" style="1" customWidth="1"/>
    <col min="10259" max="10259" width="5.625" style="1" bestFit="1" customWidth="1"/>
    <col min="10260" max="10262" width="9" style="1"/>
    <col min="10263" max="10263" width="6.875" style="1" bestFit="1" customWidth="1"/>
    <col min="10264" max="10264" width="9" style="1"/>
    <col min="10265" max="10267" width="5.625" style="1" customWidth="1"/>
    <col min="10268" max="10268" width="7.5" style="1" customWidth="1"/>
    <col min="10269" max="10496" width="9" style="1"/>
    <col min="10497" max="10497" width="6.25" style="1" bestFit="1" customWidth="1"/>
    <col min="10498" max="10498" width="11.125" style="1" bestFit="1" customWidth="1"/>
    <col min="10499" max="10499" width="6.25" style="1" customWidth="1"/>
    <col min="10500" max="10510" width="0" style="1" hidden="1" customWidth="1"/>
    <col min="10511" max="10511" width="0.125" style="1" customWidth="1"/>
    <col min="10512" max="10512" width="9" style="1"/>
    <col min="10513" max="10513" width="5.625" style="1" bestFit="1" customWidth="1"/>
    <col min="10514" max="10514" width="5.625" style="1" customWidth="1"/>
    <col min="10515" max="10515" width="5.625" style="1" bestFit="1" customWidth="1"/>
    <col min="10516" max="10518" width="9" style="1"/>
    <col min="10519" max="10519" width="6.875" style="1" bestFit="1" customWidth="1"/>
    <col min="10520" max="10520" width="9" style="1"/>
    <col min="10521" max="10523" width="5.625" style="1" customWidth="1"/>
    <col min="10524" max="10524" width="7.5" style="1" customWidth="1"/>
    <col min="10525" max="10752" width="9" style="1"/>
    <col min="10753" max="10753" width="6.25" style="1" bestFit="1" customWidth="1"/>
    <col min="10754" max="10754" width="11.125" style="1" bestFit="1" customWidth="1"/>
    <col min="10755" max="10755" width="6.25" style="1" customWidth="1"/>
    <col min="10756" max="10766" width="0" style="1" hidden="1" customWidth="1"/>
    <col min="10767" max="10767" width="0.125" style="1" customWidth="1"/>
    <col min="10768" max="10768" width="9" style="1"/>
    <col min="10769" max="10769" width="5.625" style="1" bestFit="1" customWidth="1"/>
    <col min="10770" max="10770" width="5.625" style="1" customWidth="1"/>
    <col min="10771" max="10771" width="5.625" style="1" bestFit="1" customWidth="1"/>
    <col min="10772" max="10774" width="9" style="1"/>
    <col min="10775" max="10775" width="6.875" style="1" bestFit="1" customWidth="1"/>
    <col min="10776" max="10776" width="9" style="1"/>
    <col min="10777" max="10779" width="5.625" style="1" customWidth="1"/>
    <col min="10780" max="10780" width="7.5" style="1" customWidth="1"/>
    <col min="10781" max="11008" width="9" style="1"/>
    <col min="11009" max="11009" width="6.25" style="1" bestFit="1" customWidth="1"/>
    <col min="11010" max="11010" width="11.125" style="1" bestFit="1" customWidth="1"/>
    <col min="11011" max="11011" width="6.25" style="1" customWidth="1"/>
    <col min="11012" max="11022" width="0" style="1" hidden="1" customWidth="1"/>
    <col min="11023" max="11023" width="0.125" style="1" customWidth="1"/>
    <col min="11024" max="11024" width="9" style="1"/>
    <col min="11025" max="11025" width="5.625" style="1" bestFit="1" customWidth="1"/>
    <col min="11026" max="11026" width="5.625" style="1" customWidth="1"/>
    <col min="11027" max="11027" width="5.625" style="1" bestFit="1" customWidth="1"/>
    <col min="11028" max="11030" width="9" style="1"/>
    <col min="11031" max="11031" width="6.875" style="1" bestFit="1" customWidth="1"/>
    <col min="11032" max="11032" width="9" style="1"/>
    <col min="11033" max="11035" width="5.625" style="1" customWidth="1"/>
    <col min="11036" max="11036" width="7.5" style="1" customWidth="1"/>
    <col min="11037" max="11264" width="9" style="1"/>
    <col min="11265" max="11265" width="6.25" style="1" bestFit="1" customWidth="1"/>
    <col min="11266" max="11266" width="11.125" style="1" bestFit="1" customWidth="1"/>
    <col min="11267" max="11267" width="6.25" style="1" customWidth="1"/>
    <col min="11268" max="11278" width="0" style="1" hidden="1" customWidth="1"/>
    <col min="11279" max="11279" width="0.125" style="1" customWidth="1"/>
    <col min="11280" max="11280" width="9" style="1"/>
    <col min="11281" max="11281" width="5.625" style="1" bestFit="1" customWidth="1"/>
    <col min="11282" max="11282" width="5.625" style="1" customWidth="1"/>
    <col min="11283" max="11283" width="5.625" style="1" bestFit="1" customWidth="1"/>
    <col min="11284" max="11286" width="9" style="1"/>
    <col min="11287" max="11287" width="6.875" style="1" bestFit="1" customWidth="1"/>
    <col min="11288" max="11288" width="9" style="1"/>
    <col min="11289" max="11291" width="5.625" style="1" customWidth="1"/>
    <col min="11292" max="11292" width="7.5" style="1" customWidth="1"/>
    <col min="11293" max="11520" width="9" style="1"/>
    <col min="11521" max="11521" width="6.25" style="1" bestFit="1" customWidth="1"/>
    <col min="11522" max="11522" width="11.125" style="1" bestFit="1" customWidth="1"/>
    <col min="11523" max="11523" width="6.25" style="1" customWidth="1"/>
    <col min="11524" max="11534" width="0" style="1" hidden="1" customWidth="1"/>
    <col min="11535" max="11535" width="0.125" style="1" customWidth="1"/>
    <col min="11536" max="11536" width="9" style="1"/>
    <col min="11537" max="11537" width="5.625" style="1" bestFit="1" customWidth="1"/>
    <col min="11538" max="11538" width="5.625" style="1" customWidth="1"/>
    <col min="11539" max="11539" width="5.625" style="1" bestFit="1" customWidth="1"/>
    <col min="11540" max="11542" width="9" style="1"/>
    <col min="11543" max="11543" width="6.875" style="1" bestFit="1" customWidth="1"/>
    <col min="11544" max="11544" width="9" style="1"/>
    <col min="11545" max="11547" width="5.625" style="1" customWidth="1"/>
    <col min="11548" max="11548" width="7.5" style="1" customWidth="1"/>
    <col min="11549" max="11776" width="9" style="1"/>
    <col min="11777" max="11777" width="6.25" style="1" bestFit="1" customWidth="1"/>
    <col min="11778" max="11778" width="11.125" style="1" bestFit="1" customWidth="1"/>
    <col min="11779" max="11779" width="6.25" style="1" customWidth="1"/>
    <col min="11780" max="11790" width="0" style="1" hidden="1" customWidth="1"/>
    <col min="11791" max="11791" width="0.125" style="1" customWidth="1"/>
    <col min="11792" max="11792" width="9" style="1"/>
    <col min="11793" max="11793" width="5.625" style="1" bestFit="1" customWidth="1"/>
    <col min="11794" max="11794" width="5.625" style="1" customWidth="1"/>
    <col min="11795" max="11795" width="5.625" style="1" bestFit="1" customWidth="1"/>
    <col min="11796" max="11798" width="9" style="1"/>
    <col min="11799" max="11799" width="6.875" style="1" bestFit="1" customWidth="1"/>
    <col min="11800" max="11800" width="9" style="1"/>
    <col min="11801" max="11803" width="5.625" style="1" customWidth="1"/>
    <col min="11804" max="11804" width="7.5" style="1" customWidth="1"/>
    <col min="11805" max="12032" width="9" style="1"/>
    <col min="12033" max="12033" width="6.25" style="1" bestFit="1" customWidth="1"/>
    <col min="12034" max="12034" width="11.125" style="1" bestFit="1" customWidth="1"/>
    <col min="12035" max="12035" width="6.25" style="1" customWidth="1"/>
    <col min="12036" max="12046" width="0" style="1" hidden="1" customWidth="1"/>
    <col min="12047" max="12047" width="0.125" style="1" customWidth="1"/>
    <col min="12048" max="12048" width="9" style="1"/>
    <col min="12049" max="12049" width="5.625" style="1" bestFit="1" customWidth="1"/>
    <col min="12050" max="12050" width="5.625" style="1" customWidth="1"/>
    <col min="12051" max="12051" width="5.625" style="1" bestFit="1" customWidth="1"/>
    <col min="12052" max="12054" width="9" style="1"/>
    <col min="12055" max="12055" width="6.875" style="1" bestFit="1" customWidth="1"/>
    <col min="12056" max="12056" width="9" style="1"/>
    <col min="12057" max="12059" width="5.625" style="1" customWidth="1"/>
    <col min="12060" max="12060" width="7.5" style="1" customWidth="1"/>
    <col min="12061" max="12288" width="9" style="1"/>
    <col min="12289" max="12289" width="6.25" style="1" bestFit="1" customWidth="1"/>
    <col min="12290" max="12290" width="11.125" style="1" bestFit="1" customWidth="1"/>
    <col min="12291" max="12291" width="6.25" style="1" customWidth="1"/>
    <col min="12292" max="12302" width="0" style="1" hidden="1" customWidth="1"/>
    <col min="12303" max="12303" width="0.125" style="1" customWidth="1"/>
    <col min="12304" max="12304" width="9" style="1"/>
    <col min="12305" max="12305" width="5.625" style="1" bestFit="1" customWidth="1"/>
    <col min="12306" max="12306" width="5.625" style="1" customWidth="1"/>
    <col min="12307" max="12307" width="5.625" style="1" bestFit="1" customWidth="1"/>
    <col min="12308" max="12310" width="9" style="1"/>
    <col min="12311" max="12311" width="6.875" style="1" bestFit="1" customWidth="1"/>
    <col min="12312" max="12312" width="9" style="1"/>
    <col min="12313" max="12315" width="5.625" style="1" customWidth="1"/>
    <col min="12316" max="12316" width="7.5" style="1" customWidth="1"/>
    <col min="12317" max="12544" width="9" style="1"/>
    <col min="12545" max="12545" width="6.25" style="1" bestFit="1" customWidth="1"/>
    <col min="12546" max="12546" width="11.125" style="1" bestFit="1" customWidth="1"/>
    <col min="12547" max="12547" width="6.25" style="1" customWidth="1"/>
    <col min="12548" max="12558" width="0" style="1" hidden="1" customWidth="1"/>
    <col min="12559" max="12559" width="0.125" style="1" customWidth="1"/>
    <col min="12560" max="12560" width="9" style="1"/>
    <col min="12561" max="12561" width="5.625" style="1" bestFit="1" customWidth="1"/>
    <col min="12562" max="12562" width="5.625" style="1" customWidth="1"/>
    <col min="12563" max="12563" width="5.625" style="1" bestFit="1" customWidth="1"/>
    <col min="12564" max="12566" width="9" style="1"/>
    <col min="12567" max="12567" width="6.875" style="1" bestFit="1" customWidth="1"/>
    <col min="12568" max="12568" width="9" style="1"/>
    <col min="12569" max="12571" width="5.625" style="1" customWidth="1"/>
    <col min="12572" max="12572" width="7.5" style="1" customWidth="1"/>
    <col min="12573" max="12800" width="9" style="1"/>
    <col min="12801" max="12801" width="6.25" style="1" bestFit="1" customWidth="1"/>
    <col min="12802" max="12802" width="11.125" style="1" bestFit="1" customWidth="1"/>
    <col min="12803" max="12803" width="6.25" style="1" customWidth="1"/>
    <col min="12804" max="12814" width="0" style="1" hidden="1" customWidth="1"/>
    <col min="12815" max="12815" width="0.125" style="1" customWidth="1"/>
    <col min="12816" max="12816" width="9" style="1"/>
    <col min="12817" max="12817" width="5.625" style="1" bestFit="1" customWidth="1"/>
    <col min="12818" max="12818" width="5.625" style="1" customWidth="1"/>
    <col min="12819" max="12819" width="5.625" style="1" bestFit="1" customWidth="1"/>
    <col min="12820" max="12822" width="9" style="1"/>
    <col min="12823" max="12823" width="6.875" style="1" bestFit="1" customWidth="1"/>
    <col min="12824" max="12824" width="9" style="1"/>
    <col min="12825" max="12827" width="5.625" style="1" customWidth="1"/>
    <col min="12828" max="12828" width="7.5" style="1" customWidth="1"/>
    <col min="12829" max="13056" width="9" style="1"/>
    <col min="13057" max="13057" width="6.25" style="1" bestFit="1" customWidth="1"/>
    <col min="13058" max="13058" width="11.125" style="1" bestFit="1" customWidth="1"/>
    <col min="13059" max="13059" width="6.25" style="1" customWidth="1"/>
    <col min="13060" max="13070" width="0" style="1" hidden="1" customWidth="1"/>
    <col min="13071" max="13071" width="0.125" style="1" customWidth="1"/>
    <col min="13072" max="13072" width="9" style="1"/>
    <col min="13073" max="13073" width="5.625" style="1" bestFit="1" customWidth="1"/>
    <col min="13074" max="13074" width="5.625" style="1" customWidth="1"/>
    <col min="13075" max="13075" width="5.625" style="1" bestFit="1" customWidth="1"/>
    <col min="13076" max="13078" width="9" style="1"/>
    <col min="13079" max="13079" width="6.875" style="1" bestFit="1" customWidth="1"/>
    <col min="13080" max="13080" width="9" style="1"/>
    <col min="13081" max="13083" width="5.625" style="1" customWidth="1"/>
    <col min="13084" max="13084" width="7.5" style="1" customWidth="1"/>
    <col min="13085" max="13312" width="9" style="1"/>
    <col min="13313" max="13313" width="6.25" style="1" bestFit="1" customWidth="1"/>
    <col min="13314" max="13314" width="11.125" style="1" bestFit="1" customWidth="1"/>
    <col min="13315" max="13315" width="6.25" style="1" customWidth="1"/>
    <col min="13316" max="13326" width="0" style="1" hidden="1" customWidth="1"/>
    <col min="13327" max="13327" width="0.125" style="1" customWidth="1"/>
    <col min="13328" max="13328" width="9" style="1"/>
    <col min="13329" max="13329" width="5.625" style="1" bestFit="1" customWidth="1"/>
    <col min="13330" max="13330" width="5.625" style="1" customWidth="1"/>
    <col min="13331" max="13331" width="5.625" style="1" bestFit="1" customWidth="1"/>
    <col min="13332" max="13334" width="9" style="1"/>
    <col min="13335" max="13335" width="6.875" style="1" bestFit="1" customWidth="1"/>
    <col min="13336" max="13336" width="9" style="1"/>
    <col min="13337" max="13339" width="5.625" style="1" customWidth="1"/>
    <col min="13340" max="13340" width="7.5" style="1" customWidth="1"/>
    <col min="13341" max="13568" width="9" style="1"/>
    <col min="13569" max="13569" width="6.25" style="1" bestFit="1" customWidth="1"/>
    <col min="13570" max="13570" width="11.125" style="1" bestFit="1" customWidth="1"/>
    <col min="13571" max="13571" width="6.25" style="1" customWidth="1"/>
    <col min="13572" max="13582" width="0" style="1" hidden="1" customWidth="1"/>
    <col min="13583" max="13583" width="0.125" style="1" customWidth="1"/>
    <col min="13584" max="13584" width="9" style="1"/>
    <col min="13585" max="13585" width="5.625" style="1" bestFit="1" customWidth="1"/>
    <col min="13586" max="13586" width="5.625" style="1" customWidth="1"/>
    <col min="13587" max="13587" width="5.625" style="1" bestFit="1" customWidth="1"/>
    <col min="13588" max="13590" width="9" style="1"/>
    <col min="13591" max="13591" width="6.875" style="1" bestFit="1" customWidth="1"/>
    <col min="13592" max="13592" width="9" style="1"/>
    <col min="13593" max="13595" width="5.625" style="1" customWidth="1"/>
    <col min="13596" max="13596" width="7.5" style="1" customWidth="1"/>
    <col min="13597" max="13824" width="9" style="1"/>
    <col min="13825" max="13825" width="6.25" style="1" bestFit="1" customWidth="1"/>
    <col min="13826" max="13826" width="11.125" style="1" bestFit="1" customWidth="1"/>
    <col min="13827" max="13827" width="6.25" style="1" customWidth="1"/>
    <col min="13828" max="13838" width="0" style="1" hidden="1" customWidth="1"/>
    <col min="13839" max="13839" width="0.125" style="1" customWidth="1"/>
    <col min="13840" max="13840" width="9" style="1"/>
    <col min="13841" max="13841" width="5.625" style="1" bestFit="1" customWidth="1"/>
    <col min="13842" max="13842" width="5.625" style="1" customWidth="1"/>
    <col min="13843" max="13843" width="5.625" style="1" bestFit="1" customWidth="1"/>
    <col min="13844" max="13846" width="9" style="1"/>
    <col min="13847" max="13847" width="6.875" style="1" bestFit="1" customWidth="1"/>
    <col min="13848" max="13848" width="9" style="1"/>
    <col min="13849" max="13851" width="5.625" style="1" customWidth="1"/>
    <col min="13852" max="13852" width="7.5" style="1" customWidth="1"/>
    <col min="13853" max="14080" width="9" style="1"/>
    <col min="14081" max="14081" width="6.25" style="1" bestFit="1" customWidth="1"/>
    <col min="14082" max="14082" width="11.125" style="1" bestFit="1" customWidth="1"/>
    <col min="14083" max="14083" width="6.25" style="1" customWidth="1"/>
    <col min="14084" max="14094" width="0" style="1" hidden="1" customWidth="1"/>
    <col min="14095" max="14095" width="0.125" style="1" customWidth="1"/>
    <col min="14096" max="14096" width="9" style="1"/>
    <col min="14097" max="14097" width="5.625" style="1" bestFit="1" customWidth="1"/>
    <col min="14098" max="14098" width="5.625" style="1" customWidth="1"/>
    <col min="14099" max="14099" width="5.625" style="1" bestFit="1" customWidth="1"/>
    <col min="14100" max="14102" width="9" style="1"/>
    <col min="14103" max="14103" width="6.875" style="1" bestFit="1" customWidth="1"/>
    <col min="14104" max="14104" width="9" style="1"/>
    <col min="14105" max="14107" width="5.625" style="1" customWidth="1"/>
    <col min="14108" max="14108" width="7.5" style="1" customWidth="1"/>
    <col min="14109" max="14336" width="9" style="1"/>
    <col min="14337" max="14337" width="6.25" style="1" bestFit="1" customWidth="1"/>
    <col min="14338" max="14338" width="11.125" style="1" bestFit="1" customWidth="1"/>
    <col min="14339" max="14339" width="6.25" style="1" customWidth="1"/>
    <col min="14340" max="14350" width="0" style="1" hidden="1" customWidth="1"/>
    <col min="14351" max="14351" width="0.125" style="1" customWidth="1"/>
    <col min="14352" max="14352" width="9" style="1"/>
    <col min="14353" max="14353" width="5.625" style="1" bestFit="1" customWidth="1"/>
    <col min="14354" max="14354" width="5.625" style="1" customWidth="1"/>
    <col min="14355" max="14355" width="5.625" style="1" bestFit="1" customWidth="1"/>
    <col min="14356" max="14358" width="9" style="1"/>
    <col min="14359" max="14359" width="6.875" style="1" bestFit="1" customWidth="1"/>
    <col min="14360" max="14360" width="9" style="1"/>
    <col min="14361" max="14363" width="5.625" style="1" customWidth="1"/>
    <col min="14364" max="14364" width="7.5" style="1" customWidth="1"/>
    <col min="14365" max="14592" width="9" style="1"/>
    <col min="14593" max="14593" width="6.25" style="1" bestFit="1" customWidth="1"/>
    <col min="14594" max="14594" width="11.125" style="1" bestFit="1" customWidth="1"/>
    <col min="14595" max="14595" width="6.25" style="1" customWidth="1"/>
    <col min="14596" max="14606" width="0" style="1" hidden="1" customWidth="1"/>
    <col min="14607" max="14607" width="0.125" style="1" customWidth="1"/>
    <col min="14608" max="14608" width="9" style="1"/>
    <col min="14609" max="14609" width="5.625" style="1" bestFit="1" customWidth="1"/>
    <col min="14610" max="14610" width="5.625" style="1" customWidth="1"/>
    <col min="14611" max="14611" width="5.625" style="1" bestFit="1" customWidth="1"/>
    <col min="14612" max="14614" width="9" style="1"/>
    <col min="14615" max="14615" width="6.875" style="1" bestFit="1" customWidth="1"/>
    <col min="14616" max="14616" width="9" style="1"/>
    <col min="14617" max="14619" width="5.625" style="1" customWidth="1"/>
    <col min="14620" max="14620" width="7.5" style="1" customWidth="1"/>
    <col min="14621" max="14848" width="9" style="1"/>
    <col min="14849" max="14849" width="6.25" style="1" bestFit="1" customWidth="1"/>
    <col min="14850" max="14850" width="11.125" style="1" bestFit="1" customWidth="1"/>
    <col min="14851" max="14851" width="6.25" style="1" customWidth="1"/>
    <col min="14852" max="14862" width="0" style="1" hidden="1" customWidth="1"/>
    <col min="14863" max="14863" width="0.125" style="1" customWidth="1"/>
    <col min="14864" max="14864" width="9" style="1"/>
    <col min="14865" max="14865" width="5.625" style="1" bestFit="1" customWidth="1"/>
    <col min="14866" max="14866" width="5.625" style="1" customWidth="1"/>
    <col min="14867" max="14867" width="5.625" style="1" bestFit="1" customWidth="1"/>
    <col min="14868" max="14870" width="9" style="1"/>
    <col min="14871" max="14871" width="6.875" style="1" bestFit="1" customWidth="1"/>
    <col min="14872" max="14872" width="9" style="1"/>
    <col min="14873" max="14875" width="5.625" style="1" customWidth="1"/>
    <col min="14876" max="14876" width="7.5" style="1" customWidth="1"/>
    <col min="14877" max="15104" width="9" style="1"/>
    <col min="15105" max="15105" width="6.25" style="1" bestFit="1" customWidth="1"/>
    <col min="15106" max="15106" width="11.125" style="1" bestFit="1" customWidth="1"/>
    <col min="15107" max="15107" width="6.25" style="1" customWidth="1"/>
    <col min="15108" max="15118" width="0" style="1" hidden="1" customWidth="1"/>
    <col min="15119" max="15119" width="0.125" style="1" customWidth="1"/>
    <col min="15120" max="15120" width="9" style="1"/>
    <col min="15121" max="15121" width="5.625" style="1" bestFit="1" customWidth="1"/>
    <col min="15122" max="15122" width="5.625" style="1" customWidth="1"/>
    <col min="15123" max="15123" width="5.625" style="1" bestFit="1" customWidth="1"/>
    <col min="15124" max="15126" width="9" style="1"/>
    <col min="15127" max="15127" width="6.875" style="1" bestFit="1" customWidth="1"/>
    <col min="15128" max="15128" width="9" style="1"/>
    <col min="15129" max="15131" width="5.625" style="1" customWidth="1"/>
    <col min="15132" max="15132" width="7.5" style="1" customWidth="1"/>
    <col min="15133" max="15360" width="9" style="1"/>
    <col min="15361" max="15361" width="6.25" style="1" bestFit="1" customWidth="1"/>
    <col min="15362" max="15362" width="11.125" style="1" bestFit="1" customWidth="1"/>
    <col min="15363" max="15363" width="6.25" style="1" customWidth="1"/>
    <col min="15364" max="15374" width="0" style="1" hidden="1" customWidth="1"/>
    <col min="15375" max="15375" width="0.125" style="1" customWidth="1"/>
    <col min="15376" max="15376" width="9" style="1"/>
    <col min="15377" max="15377" width="5.625" style="1" bestFit="1" customWidth="1"/>
    <col min="15378" max="15378" width="5.625" style="1" customWidth="1"/>
    <col min="15379" max="15379" width="5.625" style="1" bestFit="1" customWidth="1"/>
    <col min="15380" max="15382" width="9" style="1"/>
    <col min="15383" max="15383" width="6.875" style="1" bestFit="1" customWidth="1"/>
    <col min="15384" max="15384" width="9" style="1"/>
    <col min="15385" max="15387" width="5.625" style="1" customWidth="1"/>
    <col min="15388" max="15388" width="7.5" style="1" customWidth="1"/>
    <col min="15389" max="15616" width="9" style="1"/>
    <col min="15617" max="15617" width="6.25" style="1" bestFit="1" customWidth="1"/>
    <col min="15618" max="15618" width="11.125" style="1" bestFit="1" customWidth="1"/>
    <col min="15619" max="15619" width="6.25" style="1" customWidth="1"/>
    <col min="15620" max="15630" width="0" style="1" hidden="1" customWidth="1"/>
    <col min="15631" max="15631" width="0.125" style="1" customWidth="1"/>
    <col min="15632" max="15632" width="9" style="1"/>
    <col min="15633" max="15633" width="5.625" style="1" bestFit="1" customWidth="1"/>
    <col min="15634" max="15634" width="5.625" style="1" customWidth="1"/>
    <col min="15635" max="15635" width="5.625" style="1" bestFit="1" customWidth="1"/>
    <col min="15636" max="15638" width="9" style="1"/>
    <col min="15639" max="15639" width="6.875" style="1" bestFit="1" customWidth="1"/>
    <col min="15640" max="15640" width="9" style="1"/>
    <col min="15641" max="15643" width="5.625" style="1" customWidth="1"/>
    <col min="15644" max="15644" width="7.5" style="1" customWidth="1"/>
    <col min="15645" max="15872" width="9" style="1"/>
    <col min="15873" max="15873" width="6.25" style="1" bestFit="1" customWidth="1"/>
    <col min="15874" max="15874" width="11.125" style="1" bestFit="1" customWidth="1"/>
    <col min="15875" max="15875" width="6.25" style="1" customWidth="1"/>
    <col min="15876" max="15886" width="0" style="1" hidden="1" customWidth="1"/>
    <col min="15887" max="15887" width="0.125" style="1" customWidth="1"/>
    <col min="15888" max="15888" width="9" style="1"/>
    <col min="15889" max="15889" width="5.625" style="1" bestFit="1" customWidth="1"/>
    <col min="15890" max="15890" width="5.625" style="1" customWidth="1"/>
    <col min="15891" max="15891" width="5.625" style="1" bestFit="1" customWidth="1"/>
    <col min="15892" max="15894" width="9" style="1"/>
    <col min="15895" max="15895" width="6.875" style="1" bestFit="1" customWidth="1"/>
    <col min="15896" max="15896" width="9" style="1"/>
    <col min="15897" max="15899" width="5.625" style="1" customWidth="1"/>
    <col min="15900" max="15900" width="7.5" style="1" customWidth="1"/>
    <col min="15901" max="16128" width="9" style="1"/>
    <col min="16129" max="16129" width="6.25" style="1" bestFit="1" customWidth="1"/>
    <col min="16130" max="16130" width="11.125" style="1" bestFit="1" customWidth="1"/>
    <col min="16131" max="16131" width="6.25" style="1" customWidth="1"/>
    <col min="16132" max="16142" width="0" style="1" hidden="1" customWidth="1"/>
    <col min="16143" max="16143" width="0.125" style="1" customWidth="1"/>
    <col min="16144" max="16144" width="9" style="1"/>
    <col min="16145" max="16145" width="5.625" style="1" bestFit="1" customWidth="1"/>
    <col min="16146" max="16146" width="5.625" style="1" customWidth="1"/>
    <col min="16147" max="16147" width="5.625" style="1" bestFit="1" customWidth="1"/>
    <col min="16148" max="16150" width="9" style="1"/>
    <col min="16151" max="16151" width="6.875" style="1" bestFit="1" customWidth="1"/>
    <col min="16152" max="16152" width="9" style="1"/>
    <col min="16153" max="16155" width="5.625" style="1" customWidth="1"/>
    <col min="16156" max="16156" width="7.5" style="1" customWidth="1"/>
    <col min="16157" max="16384" width="9" style="1"/>
  </cols>
  <sheetData>
    <row r="1" spans="1:35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4" t="s">
        <v>2</v>
      </c>
      <c r="M1" s="5"/>
      <c r="N1" s="5"/>
      <c r="O1" s="6"/>
      <c r="P1" s="66" t="s">
        <v>78</v>
      </c>
      <c r="Q1" s="7"/>
      <c r="R1" s="7"/>
      <c r="S1" s="7"/>
      <c r="T1" s="7"/>
      <c r="U1" s="7"/>
      <c r="V1" s="7"/>
      <c r="W1" s="7"/>
      <c r="X1" s="67" t="s">
        <v>77</v>
      </c>
      <c r="Y1" s="8"/>
      <c r="Z1" s="8"/>
      <c r="AA1" s="8"/>
      <c r="AB1" s="8"/>
      <c r="AC1" s="8"/>
      <c r="AD1" s="8"/>
      <c r="AE1" s="8"/>
    </row>
    <row r="2" spans="1:35" ht="12" thickBot="1">
      <c r="C2" s="9" t="s">
        <v>3</v>
      </c>
      <c r="D2" s="10" t="str">
        <f>P2</f>
        <v>kbps</v>
      </c>
      <c r="E2" s="10" t="str">
        <f>R2</f>
        <v>U psnr</v>
      </c>
      <c r="F2" s="10" t="str">
        <f>P2</f>
        <v>kbps</v>
      </c>
      <c r="G2" s="10" t="str">
        <f>S2</f>
        <v>V psnr</v>
      </c>
      <c r="H2" s="10" t="str">
        <f>X2</f>
        <v>kbps</v>
      </c>
      <c r="I2" s="10" t="str">
        <f>Z2</f>
        <v>U psnr</v>
      </c>
      <c r="J2" s="10" t="str">
        <f>X2</f>
        <v>kbps</v>
      </c>
      <c r="K2" s="11" t="str">
        <f>AA2</f>
        <v>V psnr</v>
      </c>
      <c r="L2" s="12" t="s">
        <v>4</v>
      </c>
      <c r="M2" s="13" t="s">
        <v>5</v>
      </c>
      <c r="N2" s="13" t="s">
        <v>6</v>
      </c>
      <c r="O2" s="14" t="s">
        <v>7</v>
      </c>
      <c r="P2" s="13" t="s">
        <v>4</v>
      </c>
      <c r="Q2" s="13" t="s">
        <v>5</v>
      </c>
      <c r="R2" s="13" t="s">
        <v>6</v>
      </c>
      <c r="S2" s="13" t="s">
        <v>7</v>
      </c>
      <c r="T2" s="13" t="s">
        <v>8</v>
      </c>
      <c r="U2" s="13" t="s">
        <v>9</v>
      </c>
      <c r="V2" s="13" t="s">
        <v>10</v>
      </c>
      <c r="W2" s="15">
        <f>IF(COUNTIF(W3:W74,"!"),COUNTIF(W3:W74,"!"),"")</f>
        <v>28</v>
      </c>
      <c r="X2" s="13" t="s">
        <v>4</v>
      </c>
      <c r="Y2" s="13" t="s">
        <v>5</v>
      </c>
      <c r="Z2" s="13" t="s">
        <v>6</v>
      </c>
      <c r="AA2" s="13" t="s">
        <v>7</v>
      </c>
      <c r="AB2" s="13" t="s">
        <v>11</v>
      </c>
      <c r="AC2" s="13" t="s">
        <v>9</v>
      </c>
      <c r="AD2" s="13" t="s">
        <v>10</v>
      </c>
      <c r="AE2" s="16" t="s">
        <v>12</v>
      </c>
      <c r="AF2" s="16" t="s">
        <v>13</v>
      </c>
      <c r="AG2" s="16" t="s">
        <v>14</v>
      </c>
      <c r="AH2" s="16" t="s">
        <v>84</v>
      </c>
      <c r="AI2" s="16" t="s">
        <v>85</v>
      </c>
    </row>
    <row r="3" spans="1:35" ht="12" thickBot="1">
      <c r="A3" s="17" t="s">
        <v>15</v>
      </c>
      <c r="B3" s="17" t="s">
        <v>16</v>
      </c>
      <c r="C3" s="17">
        <v>22</v>
      </c>
      <c r="D3" s="18">
        <f t="shared" ref="D3:D66" si="0">P3</f>
        <v>102034.8</v>
      </c>
      <c r="E3" s="18">
        <f t="shared" ref="E3:E66" si="1">R3</f>
        <v>42.890599999999999</v>
      </c>
      <c r="F3" s="18">
        <f t="shared" ref="F3:F66" si="2">P3</f>
        <v>102034.8</v>
      </c>
      <c r="G3" s="18" t="str">
        <f t="shared" ref="G3:G66" si="3">S3</f>
        <v xml:space="preserve">44.7096			</v>
      </c>
      <c r="H3" s="18">
        <f t="shared" ref="H3:H66" si="4">X3</f>
        <v>93311.28</v>
      </c>
      <c r="I3" s="18">
        <f t="shared" ref="I3:I66" si="5">Z3</f>
        <v>43.259099999999997</v>
      </c>
      <c r="J3" s="18">
        <f t="shared" ref="J3:J66" si="6">X3</f>
        <v>93311.28</v>
      </c>
      <c r="K3" s="19">
        <f t="shared" ref="K3:K66" si="7">AA3</f>
        <v>45.444899999999997</v>
      </c>
      <c r="L3" s="20">
        <v>105780.3248</v>
      </c>
      <c r="M3" s="20">
        <v>43.515099999999997</v>
      </c>
      <c r="N3" s="20">
        <v>42.966799999999999</v>
      </c>
      <c r="O3" s="20">
        <v>44.756599999999999</v>
      </c>
      <c r="P3" s="21">
        <v>102034.8</v>
      </c>
      <c r="Q3" s="21">
        <v>43.362000000000002</v>
      </c>
      <c r="R3" s="21">
        <v>42.890599999999999</v>
      </c>
      <c r="S3" s="21" t="s">
        <v>79</v>
      </c>
      <c r="T3" s="21">
        <v>26.172000000000001</v>
      </c>
      <c r="U3" s="22"/>
      <c r="V3" s="23">
        <f t="shared" ref="V3:V66" si="8">T3/3600</f>
        <v>7.2700000000000004E-3</v>
      </c>
      <c r="W3" s="24" t="str">
        <f>IF(OR(AND(P3="",Q3="",R3="",S3=""),AND(L3=P3,M3=Q3,N3=R3,O3=S3)),"","!")</f>
        <v>!</v>
      </c>
      <c r="X3" s="21">
        <v>93311.28</v>
      </c>
      <c r="Y3" s="21">
        <v>44.272599999999997</v>
      </c>
      <c r="Z3" s="21">
        <v>43.259099999999997</v>
      </c>
      <c r="AA3" s="21">
        <v>45.444899999999997</v>
      </c>
      <c r="AB3" s="21">
        <v>1248.5619999999999</v>
      </c>
      <c r="AC3" s="21"/>
      <c r="AD3" s="23">
        <f t="shared" ref="AD3:AD66" si="9">AB3/3600</f>
        <v>0.34682277777777776</v>
      </c>
      <c r="AE3" s="25">
        <f>RBJM($P3:$Q6,X3:Y6)</f>
        <v>-26.36683842220523</v>
      </c>
      <c r="AF3" s="25">
        <f>RBJM($D3:$E6,H3:I6)</f>
        <v>-20.333876984971834</v>
      </c>
      <c r="AG3" s="25">
        <f>RBJM($F3:$G6,J3:K6)</f>
        <v>-28.879100255153865</v>
      </c>
      <c r="AH3" s="25">
        <f>AB3/T3</f>
        <v>47.706021702582909</v>
      </c>
      <c r="AI3" s="25">
        <f>AVERAGE(AH3:AH10)</f>
        <v>34.03541714066963</v>
      </c>
    </row>
    <row r="4" spans="1:35" ht="12" thickBot="1">
      <c r="A4" s="26" t="s">
        <v>17</v>
      </c>
      <c r="B4" s="26" t="s">
        <v>18</v>
      </c>
      <c r="C4" s="26">
        <v>27</v>
      </c>
      <c r="D4" s="18">
        <f t="shared" si="0"/>
        <v>57460.32</v>
      </c>
      <c r="E4" s="18">
        <f t="shared" si="1"/>
        <v>40.223399999999998</v>
      </c>
      <c r="F4" s="18">
        <f t="shared" si="2"/>
        <v>57460.32</v>
      </c>
      <c r="G4" s="18" t="str">
        <f t="shared" si="3"/>
        <v xml:space="preserve">42.2053			</v>
      </c>
      <c r="H4" s="18">
        <f t="shared" si="4"/>
        <v>51038.12</v>
      </c>
      <c r="I4" s="18">
        <f t="shared" si="5"/>
        <v>40.612299999999998</v>
      </c>
      <c r="J4" s="18">
        <f t="shared" si="6"/>
        <v>51038.12</v>
      </c>
      <c r="K4" s="19">
        <f t="shared" si="7"/>
        <v>43.016500000000001</v>
      </c>
      <c r="L4" s="23">
        <v>59825.139199999998</v>
      </c>
      <c r="M4" s="23">
        <v>40.2761</v>
      </c>
      <c r="N4" s="23">
        <v>40.3063</v>
      </c>
      <c r="O4" s="23">
        <v>42.303199999999997</v>
      </c>
      <c r="P4" s="21">
        <v>57460.32</v>
      </c>
      <c r="Q4" s="21">
        <v>40.170200000000001</v>
      </c>
      <c r="R4" s="21">
        <v>40.223399999999998</v>
      </c>
      <c r="S4" s="21" t="s">
        <v>80</v>
      </c>
      <c r="T4" s="21">
        <v>22.625</v>
      </c>
      <c r="U4" s="22"/>
      <c r="V4" s="23">
        <f t="shared" si="8"/>
        <v>6.2847222222222219E-3</v>
      </c>
      <c r="W4" s="27" t="str">
        <f t="shared" ref="W4:W66" si="10">IF(OR(AND(P4="",Q4="",R4="",S4=""),AND(L4=P4,M4=Q4,N4=R4,O4=S4)),"","!")</f>
        <v>!</v>
      </c>
      <c r="X4" s="21">
        <v>51038.12</v>
      </c>
      <c r="Y4" s="21">
        <v>41.133499999999998</v>
      </c>
      <c r="Z4" s="21">
        <v>40.612299999999998</v>
      </c>
      <c r="AA4" s="21">
        <v>43.016500000000001</v>
      </c>
      <c r="AB4" s="21">
        <v>855.42200000000003</v>
      </c>
      <c r="AC4" s="21"/>
      <c r="AD4" s="23">
        <f t="shared" si="9"/>
        <v>0.23761722222222223</v>
      </c>
      <c r="AE4" s="28"/>
      <c r="AF4" s="28"/>
      <c r="AG4" s="28"/>
      <c r="AH4" s="25">
        <f>AB4/T4</f>
        <v>37.80870718232044</v>
      </c>
      <c r="AI4" s="25"/>
    </row>
    <row r="5" spans="1:35" ht="12" thickBot="1">
      <c r="A5" s="26"/>
      <c r="B5" s="26"/>
      <c r="C5" s="26">
        <v>32</v>
      </c>
      <c r="D5" s="18">
        <f t="shared" si="0"/>
        <v>32778.480000000003</v>
      </c>
      <c r="E5" s="18">
        <f t="shared" si="1"/>
        <v>38.336100000000002</v>
      </c>
      <c r="F5" s="18">
        <f t="shared" si="2"/>
        <v>32778.480000000003</v>
      </c>
      <c r="G5" s="18" t="str">
        <f t="shared" si="3"/>
        <v xml:space="preserve">40.3736			</v>
      </c>
      <c r="H5" s="18">
        <f t="shared" si="4"/>
        <v>28782.48</v>
      </c>
      <c r="I5" s="18">
        <f t="shared" si="5"/>
        <v>38.842700000000001</v>
      </c>
      <c r="J5" s="18">
        <f t="shared" si="6"/>
        <v>28782.48</v>
      </c>
      <c r="K5" s="19">
        <f t="shared" si="7"/>
        <v>41.338700000000003</v>
      </c>
      <c r="L5" s="23">
        <v>33767.529600000002</v>
      </c>
      <c r="M5" s="23">
        <v>37.241599999999998</v>
      </c>
      <c r="N5" s="23">
        <v>38.250500000000002</v>
      </c>
      <c r="O5" s="23">
        <v>40.392200000000003</v>
      </c>
      <c r="P5" s="21">
        <v>32778.480000000003</v>
      </c>
      <c r="Q5" s="21">
        <v>37.109699999999997</v>
      </c>
      <c r="R5" s="21">
        <v>38.336100000000002</v>
      </c>
      <c r="S5" s="21" t="s">
        <v>81</v>
      </c>
      <c r="T5" s="21">
        <v>20.265999999999998</v>
      </c>
      <c r="U5" s="22"/>
      <c r="V5" s="23">
        <f t="shared" si="8"/>
        <v>5.6294444444444439E-3</v>
      </c>
      <c r="W5" s="27" t="str">
        <f t="shared" si="10"/>
        <v>!</v>
      </c>
      <c r="X5" s="21">
        <v>28782.48</v>
      </c>
      <c r="Y5" s="21">
        <v>38.129300000000001</v>
      </c>
      <c r="Z5" s="21">
        <v>38.842700000000001</v>
      </c>
      <c r="AA5" s="21">
        <v>41.338700000000003</v>
      </c>
      <c r="AB5" s="21">
        <v>602.60900000000004</v>
      </c>
      <c r="AC5" s="21"/>
      <c r="AD5" s="23">
        <f t="shared" si="9"/>
        <v>0.16739138888888891</v>
      </c>
      <c r="AE5" s="28"/>
      <c r="AF5" s="28"/>
      <c r="AG5" s="28"/>
      <c r="AH5" s="25">
        <f>AB5/T5</f>
        <v>29.734974834698516</v>
      </c>
      <c r="AI5" s="25"/>
    </row>
    <row r="6" spans="1:35" ht="12" thickBot="1">
      <c r="A6" s="26"/>
      <c r="B6" s="29"/>
      <c r="C6" s="29">
        <v>37</v>
      </c>
      <c r="D6" s="30">
        <f t="shared" si="0"/>
        <v>18584.88</v>
      </c>
      <c r="E6" s="30">
        <f t="shared" si="1"/>
        <v>37.0441</v>
      </c>
      <c r="F6" s="30">
        <f t="shared" si="2"/>
        <v>18584.88</v>
      </c>
      <c r="G6" s="30" t="str">
        <f t="shared" si="3"/>
        <v xml:space="preserve">39.2012		</v>
      </c>
      <c r="H6" s="30">
        <f t="shared" si="4"/>
        <v>16213.2</v>
      </c>
      <c r="I6" s="30">
        <f t="shared" si="5"/>
        <v>37.219799999999999</v>
      </c>
      <c r="J6" s="30">
        <f t="shared" si="6"/>
        <v>16213.2</v>
      </c>
      <c r="K6" s="31">
        <f t="shared" si="7"/>
        <v>39.2361</v>
      </c>
      <c r="L6" s="32">
        <v>18753.2912</v>
      </c>
      <c r="M6" s="32">
        <v>34.274500000000003</v>
      </c>
      <c r="N6" s="32">
        <v>36.4377</v>
      </c>
      <c r="O6" s="32">
        <v>38.816299999999998</v>
      </c>
      <c r="P6" s="33">
        <v>18584.88</v>
      </c>
      <c r="Q6" s="33">
        <v>34.104799999999997</v>
      </c>
      <c r="R6" s="33">
        <v>37.0441</v>
      </c>
      <c r="S6" s="33" t="s">
        <v>82</v>
      </c>
      <c r="T6" s="33">
        <v>18.562000000000001</v>
      </c>
      <c r="U6" s="34"/>
      <c r="V6" s="32">
        <f t="shared" si="8"/>
        <v>5.1561111111111113E-3</v>
      </c>
      <c r="W6" s="35" t="str">
        <f t="shared" si="10"/>
        <v>!</v>
      </c>
      <c r="X6" s="33">
        <v>16213.2</v>
      </c>
      <c r="Y6" s="33">
        <v>35.109499999999997</v>
      </c>
      <c r="Z6" s="33">
        <v>37.219799999999999</v>
      </c>
      <c r="AA6" s="33">
        <v>39.2361</v>
      </c>
      <c r="AB6" s="33">
        <v>375.21899999999999</v>
      </c>
      <c r="AC6" s="33"/>
      <c r="AD6" s="32">
        <f t="shared" si="9"/>
        <v>0.1042275</v>
      </c>
      <c r="AE6" s="29"/>
      <c r="AF6" s="29"/>
      <c r="AG6" s="29"/>
      <c r="AH6" s="25">
        <f>AB6/T6</f>
        <v>20.214362676435726</v>
      </c>
      <c r="AI6" s="25"/>
    </row>
    <row r="7" spans="1:35" ht="12" thickBot="1">
      <c r="A7" s="26"/>
      <c r="B7" s="26" t="s">
        <v>19</v>
      </c>
      <c r="C7" s="17">
        <v>22</v>
      </c>
      <c r="D7" s="18">
        <f t="shared" si="0"/>
        <v>103598</v>
      </c>
      <c r="E7" s="18">
        <f t="shared" si="1"/>
        <v>45.607700000000001</v>
      </c>
      <c r="F7" s="18">
        <f t="shared" si="2"/>
        <v>103598</v>
      </c>
      <c r="G7" s="18">
        <f t="shared" si="3"/>
        <v>45.354199999999999</v>
      </c>
      <c r="H7" s="18">
        <f t="shared" si="4"/>
        <v>97684.32</v>
      </c>
      <c r="I7" s="18">
        <f t="shared" si="5"/>
        <v>46.717100000000002</v>
      </c>
      <c r="J7" s="18">
        <f t="shared" si="6"/>
        <v>97684.32</v>
      </c>
      <c r="K7" s="19">
        <f t="shared" si="7"/>
        <v>45.924199999999999</v>
      </c>
      <c r="L7" s="23">
        <v>107745.1072</v>
      </c>
      <c r="M7" s="23">
        <v>43.4343</v>
      </c>
      <c r="N7" s="23">
        <v>45.640700000000002</v>
      </c>
      <c r="O7" s="23">
        <v>45.311799999999998</v>
      </c>
      <c r="P7" s="36">
        <v>103598</v>
      </c>
      <c r="Q7" s="36">
        <v>43.258000000000003</v>
      </c>
      <c r="R7" s="36">
        <v>45.607700000000001</v>
      </c>
      <c r="S7" s="36">
        <v>45.354199999999999</v>
      </c>
      <c r="T7" s="21">
        <v>26.405999999999999</v>
      </c>
      <c r="U7" s="22"/>
      <c r="V7" s="23">
        <f t="shared" si="8"/>
        <v>7.3349999999999995E-3</v>
      </c>
      <c r="W7" s="27" t="str">
        <f>IF(OR(AND(P7="",Q7="",R7="",S7=""),AND(L7=P7,M7=Q7,N7=R7,O7=S7)),"","!")</f>
        <v>!</v>
      </c>
      <c r="X7" s="36">
        <v>97684.32</v>
      </c>
      <c r="Y7" s="36">
        <v>44.337499999999999</v>
      </c>
      <c r="Z7" s="36">
        <v>46.717100000000002</v>
      </c>
      <c r="AA7" s="36">
        <v>45.924199999999999</v>
      </c>
      <c r="AB7" s="21">
        <v>1253.547</v>
      </c>
      <c r="AC7" s="21"/>
      <c r="AD7" s="23">
        <f t="shared" si="9"/>
        <v>0.3482075</v>
      </c>
      <c r="AE7" s="25">
        <f>RBJM($P7:$Q10,X7:Y10)</f>
        <v>-23.915448114115414</v>
      </c>
      <c r="AF7" s="25">
        <f>RBJM($D7:$E10,H7:I10)</f>
        <v>-35.504604377627693</v>
      </c>
      <c r="AG7" s="25">
        <f>RBJM($F7:$G10,J7:K10)</f>
        <v>-32.914718276358023</v>
      </c>
      <c r="AH7" s="25">
        <f>AB7/T7</f>
        <v>47.472051806407634</v>
      </c>
      <c r="AI7" s="25"/>
    </row>
    <row r="8" spans="1:35" ht="12" thickBot="1">
      <c r="A8" s="26"/>
      <c r="B8" s="26" t="s">
        <v>20</v>
      </c>
      <c r="C8" s="26">
        <v>27</v>
      </c>
      <c r="D8" s="18">
        <f t="shared" si="0"/>
        <v>60212.160000000003</v>
      </c>
      <c r="E8" s="18">
        <f t="shared" si="1"/>
        <v>43.211500000000001</v>
      </c>
      <c r="F8" s="18">
        <f t="shared" si="2"/>
        <v>60212.160000000003</v>
      </c>
      <c r="G8" s="18">
        <f t="shared" si="3"/>
        <v>43.522399999999998</v>
      </c>
      <c r="H8" s="18">
        <f t="shared" si="4"/>
        <v>55956.480000000003</v>
      </c>
      <c r="I8" s="18">
        <f t="shared" si="5"/>
        <v>44.517200000000003</v>
      </c>
      <c r="J8" s="18">
        <f t="shared" si="6"/>
        <v>55956.480000000003</v>
      </c>
      <c r="K8" s="19">
        <f t="shared" si="7"/>
        <v>44.362200000000001</v>
      </c>
      <c r="L8" s="23">
        <v>63156.767999999996</v>
      </c>
      <c r="M8" s="23">
        <v>39.934199999999997</v>
      </c>
      <c r="N8" s="23">
        <v>43.405500000000004</v>
      </c>
      <c r="O8" s="23">
        <v>43.6325</v>
      </c>
      <c r="P8" s="21">
        <v>60212.160000000003</v>
      </c>
      <c r="Q8" s="21">
        <v>39.831099999999999</v>
      </c>
      <c r="R8" s="21">
        <v>43.211500000000001</v>
      </c>
      <c r="S8" s="21">
        <v>43.522399999999998</v>
      </c>
      <c r="T8" s="21">
        <v>23.422000000000001</v>
      </c>
      <c r="U8" s="22"/>
      <c r="V8" s="23">
        <f t="shared" si="8"/>
        <v>6.5061111111111109E-3</v>
      </c>
      <c r="W8" s="27" t="str">
        <f t="shared" si="10"/>
        <v>!</v>
      </c>
      <c r="X8" s="21">
        <v>55956.480000000003</v>
      </c>
      <c r="Y8" s="21">
        <v>40.897300000000001</v>
      </c>
      <c r="Z8" s="21">
        <v>44.517200000000003</v>
      </c>
      <c r="AA8" s="21">
        <v>44.362200000000001</v>
      </c>
      <c r="AB8" s="21">
        <v>885.28099999999995</v>
      </c>
      <c r="AC8" s="21"/>
      <c r="AD8" s="23">
        <f t="shared" si="9"/>
        <v>0.24591138888888889</v>
      </c>
      <c r="AE8" s="28"/>
      <c r="AF8" s="28"/>
      <c r="AG8" s="28"/>
      <c r="AH8" s="25">
        <f>AB8/T8</f>
        <v>37.796985739902652</v>
      </c>
      <c r="AI8" s="25"/>
    </row>
    <row r="9" spans="1:35" ht="12" thickBot="1">
      <c r="A9" s="26"/>
      <c r="B9" s="26"/>
      <c r="C9" s="26">
        <v>32</v>
      </c>
      <c r="D9" s="18">
        <f t="shared" si="0"/>
        <v>34234.800000000003</v>
      </c>
      <c r="E9" s="18">
        <f t="shared" si="1"/>
        <v>41.192</v>
      </c>
      <c r="F9" s="18">
        <f t="shared" si="2"/>
        <v>34234.800000000003</v>
      </c>
      <c r="G9" s="18">
        <f t="shared" si="3"/>
        <v>41.835500000000003</v>
      </c>
      <c r="H9" s="18">
        <f t="shared" si="4"/>
        <v>31053.360000000001</v>
      </c>
      <c r="I9" s="18">
        <f t="shared" si="5"/>
        <v>42.531399999999998</v>
      </c>
      <c r="J9" s="18">
        <f t="shared" si="6"/>
        <v>31053.360000000001</v>
      </c>
      <c r="K9" s="19">
        <f t="shared" si="7"/>
        <v>42.859000000000002</v>
      </c>
      <c r="L9" s="23">
        <v>36189.193599999999</v>
      </c>
      <c r="M9" s="23">
        <v>36.848500000000001</v>
      </c>
      <c r="N9" s="23">
        <v>41.409500000000001</v>
      </c>
      <c r="O9" s="23">
        <v>42.0473</v>
      </c>
      <c r="P9" s="21">
        <v>34234.800000000003</v>
      </c>
      <c r="Q9" s="21">
        <v>36.7014</v>
      </c>
      <c r="R9" s="21">
        <v>41.192</v>
      </c>
      <c r="S9" s="21">
        <v>41.835500000000003</v>
      </c>
      <c r="T9" s="21">
        <v>20.547000000000001</v>
      </c>
      <c r="U9" s="22"/>
      <c r="V9" s="23">
        <f t="shared" si="8"/>
        <v>5.7074999999999999E-3</v>
      </c>
      <c r="W9" s="27" t="str">
        <f t="shared" si="10"/>
        <v>!</v>
      </c>
      <c r="X9" s="21">
        <v>31053.360000000001</v>
      </c>
      <c r="Y9" s="21">
        <v>37.7254</v>
      </c>
      <c r="Z9" s="21">
        <v>42.531399999999998</v>
      </c>
      <c r="AA9" s="21">
        <v>42.859000000000002</v>
      </c>
      <c r="AB9" s="21">
        <v>638</v>
      </c>
      <c r="AC9" s="21"/>
      <c r="AD9" s="23">
        <f t="shared" si="9"/>
        <v>0.17722222222222223</v>
      </c>
      <c r="AE9" s="28"/>
      <c r="AF9" s="28"/>
      <c r="AG9" s="28"/>
      <c r="AH9" s="25">
        <f>AB9/T9</f>
        <v>31.050761668370079</v>
      </c>
      <c r="AI9" s="25"/>
    </row>
    <row r="10" spans="1:35" ht="12" thickBot="1">
      <c r="A10" s="29"/>
      <c r="B10" s="29"/>
      <c r="C10" s="29">
        <v>37</v>
      </c>
      <c r="D10" s="30">
        <f t="shared" si="0"/>
        <v>19961.759999999998</v>
      </c>
      <c r="E10" s="30">
        <f t="shared" si="1"/>
        <v>39.724899999999998</v>
      </c>
      <c r="F10" s="30">
        <f t="shared" si="2"/>
        <v>19961.759999999998</v>
      </c>
      <c r="G10" s="30">
        <f t="shared" si="3"/>
        <v>40.576700000000002</v>
      </c>
      <c r="H10" s="30">
        <f t="shared" si="4"/>
        <v>17454.240000000002</v>
      </c>
      <c r="I10" s="30">
        <f t="shared" si="5"/>
        <v>40.5458</v>
      </c>
      <c r="J10" s="30">
        <f t="shared" si="6"/>
        <v>17454.240000000002</v>
      </c>
      <c r="K10" s="31">
        <f t="shared" si="7"/>
        <v>41.355400000000003</v>
      </c>
      <c r="L10" s="32">
        <v>21029.235199999999</v>
      </c>
      <c r="M10" s="32">
        <v>33.999699999999997</v>
      </c>
      <c r="N10" s="32">
        <v>39.638399999999997</v>
      </c>
      <c r="O10" s="32">
        <v>40.451500000000003</v>
      </c>
      <c r="P10" s="33">
        <v>19961.759999999998</v>
      </c>
      <c r="Q10" s="33">
        <v>33.852499999999999</v>
      </c>
      <c r="R10" s="33">
        <v>39.724899999999998</v>
      </c>
      <c r="S10" s="33">
        <v>40.576700000000002</v>
      </c>
      <c r="T10" s="33">
        <v>18.922000000000001</v>
      </c>
      <c r="U10" s="34"/>
      <c r="V10" s="32">
        <f t="shared" si="8"/>
        <v>5.2561111111111116E-3</v>
      </c>
      <c r="W10" s="35" t="str">
        <f t="shared" si="10"/>
        <v>!</v>
      </c>
      <c r="X10" s="33">
        <v>17454.240000000002</v>
      </c>
      <c r="Y10" s="33">
        <v>34.868299999999998</v>
      </c>
      <c r="Z10" s="33">
        <v>40.5458</v>
      </c>
      <c r="AA10" s="33">
        <v>41.355400000000003</v>
      </c>
      <c r="AB10" s="33">
        <v>387.89100000000002</v>
      </c>
      <c r="AC10" s="33"/>
      <c r="AD10" s="32">
        <f t="shared" si="9"/>
        <v>0.10774750000000001</v>
      </c>
      <c r="AE10" s="29"/>
      <c r="AF10" s="29"/>
      <c r="AG10" s="29"/>
      <c r="AH10" s="25">
        <f>AB10/T10</f>
        <v>20.499471514639044</v>
      </c>
      <c r="AI10" s="25"/>
    </row>
    <row r="11" spans="1:35" ht="12" thickBot="1">
      <c r="A11" s="17" t="s">
        <v>21</v>
      </c>
      <c r="B11" s="17" t="s">
        <v>22</v>
      </c>
      <c r="C11" s="17">
        <v>22</v>
      </c>
      <c r="D11" s="18">
        <f t="shared" si="0"/>
        <v>0</v>
      </c>
      <c r="E11" s="18">
        <f t="shared" si="1"/>
        <v>0</v>
      </c>
      <c r="F11" s="18">
        <f t="shared" si="2"/>
        <v>0</v>
      </c>
      <c r="G11" s="18">
        <f t="shared" si="3"/>
        <v>0</v>
      </c>
      <c r="H11" s="18">
        <f t="shared" si="4"/>
        <v>0</v>
      </c>
      <c r="I11" s="18">
        <f t="shared" si="5"/>
        <v>0</v>
      </c>
      <c r="J11" s="18">
        <f t="shared" si="6"/>
        <v>0</v>
      </c>
      <c r="K11" s="19">
        <f t="shared" si="7"/>
        <v>0</v>
      </c>
      <c r="L11" s="23">
        <v>22650.401600000001</v>
      </c>
      <c r="M11" s="23">
        <v>42.774700000000003</v>
      </c>
      <c r="N11" s="23">
        <v>44.543999999999997</v>
      </c>
      <c r="O11" s="23">
        <v>45.990900000000003</v>
      </c>
      <c r="P11" s="21"/>
      <c r="Q11" s="21"/>
      <c r="R11" s="21"/>
      <c r="S11" s="21"/>
      <c r="T11" s="21"/>
      <c r="U11" s="22"/>
      <c r="V11" s="23">
        <f t="shared" si="8"/>
        <v>0</v>
      </c>
      <c r="W11" s="27" t="str">
        <f>IF(OR(AND(P11="",Q11="",R11="",S11=""),AND(L11=P11,M11=Q11,N11=R11,O11=S11)),"","!")</f>
        <v/>
      </c>
      <c r="X11" s="21"/>
      <c r="Y11" s="21"/>
      <c r="Z11" s="21"/>
      <c r="AA11" s="21"/>
      <c r="AB11" s="21"/>
      <c r="AC11" s="21"/>
      <c r="AD11" s="23">
        <f t="shared" si="9"/>
        <v>0</v>
      </c>
      <c r="AE11" s="25" t="e">
        <f>RBJM($P11:$Q14,X11:Y14)</f>
        <v>#VALUE!</v>
      </c>
      <c r="AF11" s="25" t="e">
        <f>RBJM($D11:$E14,H11:I14)</f>
        <v>#VALUE!</v>
      </c>
      <c r="AG11" s="25" t="e">
        <f>RBJM($F11:$G14,J11:K14)</f>
        <v>#VALUE!</v>
      </c>
      <c r="AH11" s="25" t="e">
        <f>AB11/T11</f>
        <v>#DIV/0!</v>
      </c>
      <c r="AI11" s="25"/>
    </row>
    <row r="12" spans="1:35" ht="12" thickBot="1">
      <c r="A12" s="26" t="s">
        <v>23</v>
      </c>
      <c r="B12" s="26" t="s">
        <v>24</v>
      </c>
      <c r="C12" s="26">
        <v>27</v>
      </c>
      <c r="D12" s="18">
        <f t="shared" si="0"/>
        <v>0</v>
      </c>
      <c r="E12" s="18">
        <f t="shared" si="1"/>
        <v>0</v>
      </c>
      <c r="F12" s="18">
        <f t="shared" si="2"/>
        <v>0</v>
      </c>
      <c r="G12" s="18">
        <f t="shared" si="3"/>
        <v>0</v>
      </c>
      <c r="H12" s="18">
        <f t="shared" si="4"/>
        <v>0</v>
      </c>
      <c r="I12" s="18">
        <f t="shared" si="5"/>
        <v>0</v>
      </c>
      <c r="J12" s="18">
        <f t="shared" si="6"/>
        <v>0</v>
      </c>
      <c r="K12" s="19">
        <f t="shared" si="7"/>
        <v>0</v>
      </c>
      <c r="L12" s="23">
        <v>12628.0736</v>
      </c>
      <c r="M12" s="23">
        <v>41.105800000000002</v>
      </c>
      <c r="N12" s="23">
        <v>42.779499999999999</v>
      </c>
      <c r="O12" s="23">
        <v>43.738399999999999</v>
      </c>
      <c r="P12" s="21"/>
      <c r="Q12" s="21"/>
      <c r="R12" s="21"/>
      <c r="S12" s="21"/>
      <c r="T12" s="21"/>
      <c r="U12" s="22"/>
      <c r="V12" s="23">
        <f t="shared" si="8"/>
        <v>0</v>
      </c>
      <c r="W12" s="27" t="str">
        <f t="shared" si="10"/>
        <v/>
      </c>
      <c r="X12" s="21"/>
      <c r="Y12" s="21"/>
      <c r="Z12" s="21"/>
      <c r="AA12" s="21"/>
      <c r="AB12" s="21"/>
      <c r="AC12" s="21"/>
      <c r="AD12" s="23">
        <f t="shared" si="9"/>
        <v>0</v>
      </c>
      <c r="AE12" s="28"/>
      <c r="AF12" s="28"/>
      <c r="AG12" s="28"/>
      <c r="AH12" s="25" t="e">
        <f>AB12/T12</f>
        <v>#DIV/0!</v>
      </c>
      <c r="AI12" s="25"/>
    </row>
    <row r="13" spans="1:35" ht="12" thickBot="1">
      <c r="A13" s="26"/>
      <c r="B13" s="26"/>
      <c r="C13" s="26">
        <v>32</v>
      </c>
      <c r="D13" s="18">
        <f t="shared" si="0"/>
        <v>0</v>
      </c>
      <c r="E13" s="18">
        <f t="shared" si="1"/>
        <v>0</v>
      </c>
      <c r="F13" s="18">
        <f t="shared" si="2"/>
        <v>0</v>
      </c>
      <c r="G13" s="18">
        <f t="shared" si="3"/>
        <v>0</v>
      </c>
      <c r="H13" s="18">
        <f t="shared" si="4"/>
        <v>0</v>
      </c>
      <c r="I13" s="18">
        <f t="shared" si="5"/>
        <v>0</v>
      </c>
      <c r="J13" s="18">
        <f t="shared" si="6"/>
        <v>0</v>
      </c>
      <c r="K13" s="19">
        <f t="shared" si="7"/>
        <v>0</v>
      </c>
      <c r="L13" s="23">
        <v>7078.5015999999996</v>
      </c>
      <c r="M13" s="23">
        <v>39.106699999999996</v>
      </c>
      <c r="N13" s="23">
        <v>41.150500000000001</v>
      </c>
      <c r="O13" s="23">
        <v>41.970199999999998</v>
      </c>
      <c r="P13" s="21"/>
      <c r="Q13" s="21"/>
      <c r="R13" s="21"/>
      <c r="S13" s="21"/>
      <c r="T13" s="21"/>
      <c r="U13" s="22"/>
      <c r="V13" s="23">
        <f t="shared" si="8"/>
        <v>0</v>
      </c>
      <c r="W13" s="27" t="str">
        <f t="shared" si="10"/>
        <v/>
      </c>
      <c r="X13" s="21"/>
      <c r="Y13" s="21"/>
      <c r="Z13" s="21"/>
      <c r="AA13" s="21"/>
      <c r="AB13" s="21"/>
      <c r="AC13" s="21"/>
      <c r="AD13" s="23">
        <f t="shared" si="9"/>
        <v>0</v>
      </c>
      <c r="AE13" s="28"/>
      <c r="AF13" s="28"/>
      <c r="AG13" s="28"/>
      <c r="AH13" s="25" t="e">
        <f>AB13/T13</f>
        <v>#DIV/0!</v>
      </c>
      <c r="AI13" s="25"/>
    </row>
    <row r="14" spans="1:35" ht="12" thickBot="1">
      <c r="A14" s="26"/>
      <c r="B14" s="29"/>
      <c r="C14" s="29">
        <v>37</v>
      </c>
      <c r="D14" s="30">
        <f t="shared" si="0"/>
        <v>0</v>
      </c>
      <c r="E14" s="30">
        <f t="shared" si="1"/>
        <v>0</v>
      </c>
      <c r="F14" s="30">
        <f t="shared" si="2"/>
        <v>0</v>
      </c>
      <c r="G14" s="30">
        <f t="shared" si="3"/>
        <v>0</v>
      </c>
      <c r="H14" s="30">
        <f t="shared" si="4"/>
        <v>0</v>
      </c>
      <c r="I14" s="30">
        <f t="shared" si="5"/>
        <v>0</v>
      </c>
      <c r="J14" s="30">
        <f t="shared" si="6"/>
        <v>0</v>
      </c>
      <c r="K14" s="31">
        <f t="shared" si="7"/>
        <v>0</v>
      </c>
      <c r="L14" s="32">
        <v>3919.6864</v>
      </c>
      <c r="M14" s="32">
        <v>36.752000000000002</v>
      </c>
      <c r="N14" s="32">
        <v>39.583500000000001</v>
      </c>
      <c r="O14" s="32">
        <v>40.694400000000002</v>
      </c>
      <c r="P14" s="33"/>
      <c r="Q14" s="33"/>
      <c r="R14" s="33"/>
      <c r="S14" s="33"/>
      <c r="T14" s="33"/>
      <c r="U14" s="34"/>
      <c r="V14" s="32">
        <f t="shared" si="8"/>
        <v>0</v>
      </c>
      <c r="W14" s="37" t="str">
        <f t="shared" si="10"/>
        <v/>
      </c>
      <c r="X14" s="33"/>
      <c r="Y14" s="33"/>
      <c r="Z14" s="33"/>
      <c r="AA14" s="33"/>
      <c r="AB14" s="33"/>
      <c r="AC14" s="33"/>
      <c r="AD14" s="32">
        <f t="shared" si="9"/>
        <v>0</v>
      </c>
      <c r="AE14" s="29"/>
      <c r="AF14" s="29"/>
      <c r="AG14" s="29"/>
      <c r="AH14" s="25" t="e">
        <f>AB14/T14</f>
        <v>#DIV/0!</v>
      </c>
      <c r="AI14" s="25"/>
    </row>
    <row r="15" spans="1:35" ht="12" thickBot="1">
      <c r="A15" s="26"/>
      <c r="B15" s="17" t="s">
        <v>25</v>
      </c>
      <c r="C15" s="17">
        <v>22</v>
      </c>
      <c r="D15" s="38">
        <f t="shared" si="0"/>
        <v>0</v>
      </c>
      <c r="E15" s="38">
        <f t="shared" si="1"/>
        <v>0</v>
      </c>
      <c r="F15" s="38">
        <f t="shared" si="2"/>
        <v>0</v>
      </c>
      <c r="G15" s="38">
        <f t="shared" si="3"/>
        <v>0</v>
      </c>
      <c r="H15" s="38">
        <f t="shared" si="4"/>
        <v>0</v>
      </c>
      <c r="I15" s="38">
        <f t="shared" si="5"/>
        <v>0</v>
      </c>
      <c r="J15" s="38">
        <f t="shared" si="6"/>
        <v>0</v>
      </c>
      <c r="K15" s="39">
        <f t="shared" si="7"/>
        <v>0</v>
      </c>
      <c r="L15" s="20">
        <v>54367.452799999999</v>
      </c>
      <c r="M15" s="20">
        <v>41.817500000000003</v>
      </c>
      <c r="N15" s="20">
        <v>43.369500000000002</v>
      </c>
      <c r="O15" s="20">
        <v>44.115299999999998</v>
      </c>
      <c r="P15" s="36"/>
      <c r="Q15" s="36"/>
      <c r="R15" s="36"/>
      <c r="S15" s="36"/>
      <c r="T15" s="36"/>
      <c r="U15" s="22"/>
      <c r="V15" s="20">
        <f t="shared" si="8"/>
        <v>0</v>
      </c>
      <c r="W15" s="24" t="str">
        <f>IF(OR(AND(P15="",Q15="",R15="",S15=""),AND(L15=P15,M15=Q15,N15=R15,O15=S15)),"","!")</f>
        <v/>
      </c>
      <c r="X15" s="36"/>
      <c r="Y15" s="36"/>
      <c r="Z15" s="36"/>
      <c r="AA15" s="36"/>
      <c r="AB15" s="36"/>
      <c r="AC15" s="36"/>
      <c r="AD15" s="20">
        <f t="shared" si="9"/>
        <v>0</v>
      </c>
      <c r="AE15" s="25" t="e">
        <f>RBJM($P15:$Q18,X15:Y18)</f>
        <v>#VALUE!</v>
      </c>
      <c r="AF15" s="25" t="e">
        <f>RBJM($D15:$E18,H15:I18)</f>
        <v>#VALUE!</v>
      </c>
      <c r="AG15" s="25" t="e">
        <f>RBJM($F15:$G18,J15:K18)</f>
        <v>#VALUE!</v>
      </c>
      <c r="AH15" s="25" t="e">
        <f t="shared" ref="AH15:AH21" si="11">AB15/T15</f>
        <v>#DIV/0!</v>
      </c>
      <c r="AI15" s="25"/>
    </row>
    <row r="16" spans="1:35" ht="12" thickBot="1">
      <c r="A16" s="26"/>
      <c r="B16" s="26" t="s">
        <v>26</v>
      </c>
      <c r="C16" s="26">
        <v>27</v>
      </c>
      <c r="D16" s="18">
        <f t="shared" si="0"/>
        <v>0</v>
      </c>
      <c r="E16" s="18">
        <f t="shared" si="1"/>
        <v>0</v>
      </c>
      <c r="F16" s="18">
        <f t="shared" si="2"/>
        <v>0</v>
      </c>
      <c r="G16" s="18">
        <f t="shared" si="3"/>
        <v>0</v>
      </c>
      <c r="H16" s="18">
        <f t="shared" si="4"/>
        <v>0</v>
      </c>
      <c r="I16" s="18">
        <f t="shared" si="5"/>
        <v>0</v>
      </c>
      <c r="J16" s="18">
        <f t="shared" si="6"/>
        <v>0</v>
      </c>
      <c r="K16" s="19">
        <f t="shared" si="7"/>
        <v>0</v>
      </c>
      <c r="L16" s="23">
        <v>29723.1168</v>
      </c>
      <c r="M16" s="23">
        <v>38.665799999999997</v>
      </c>
      <c r="N16" s="23">
        <v>40.802500000000002</v>
      </c>
      <c r="O16" s="23">
        <v>41.413800000000002</v>
      </c>
      <c r="P16" s="21"/>
      <c r="Q16" s="21"/>
      <c r="R16" s="21"/>
      <c r="S16" s="21"/>
      <c r="T16" s="21"/>
      <c r="U16" s="22"/>
      <c r="V16" s="23">
        <f t="shared" si="8"/>
        <v>0</v>
      </c>
      <c r="W16" s="27" t="str">
        <f t="shared" si="10"/>
        <v/>
      </c>
      <c r="X16" s="21"/>
      <c r="Y16" s="21"/>
      <c r="Z16" s="21"/>
      <c r="AA16" s="21"/>
      <c r="AB16" s="21"/>
      <c r="AC16" s="21"/>
      <c r="AD16" s="23">
        <f t="shared" si="9"/>
        <v>0</v>
      </c>
      <c r="AE16" s="28"/>
      <c r="AF16" s="28"/>
      <c r="AG16" s="28"/>
      <c r="AH16" s="25" t="e">
        <f t="shared" si="11"/>
        <v>#DIV/0!</v>
      </c>
      <c r="AI16" s="25"/>
    </row>
    <row r="17" spans="1:35" ht="12" thickBot="1">
      <c r="A17" s="26"/>
      <c r="B17" s="26"/>
      <c r="C17" s="26">
        <v>32</v>
      </c>
      <c r="D17" s="18">
        <f t="shared" si="0"/>
        <v>0</v>
      </c>
      <c r="E17" s="18">
        <f t="shared" si="1"/>
        <v>0</v>
      </c>
      <c r="F17" s="18">
        <f t="shared" si="2"/>
        <v>0</v>
      </c>
      <c r="G17" s="18">
        <f t="shared" si="3"/>
        <v>0</v>
      </c>
      <c r="H17" s="18">
        <f t="shared" si="4"/>
        <v>0</v>
      </c>
      <c r="I17" s="18">
        <f t="shared" si="5"/>
        <v>0</v>
      </c>
      <c r="J17" s="18">
        <f t="shared" si="6"/>
        <v>0</v>
      </c>
      <c r="K17" s="19">
        <f t="shared" si="7"/>
        <v>0</v>
      </c>
      <c r="L17" s="23">
        <v>15504.772000000001</v>
      </c>
      <c r="M17" s="23">
        <v>35.685600000000001</v>
      </c>
      <c r="N17" s="23">
        <v>38.665700000000001</v>
      </c>
      <c r="O17" s="23">
        <v>39.662599999999998</v>
      </c>
      <c r="P17" s="21"/>
      <c r="Q17" s="21"/>
      <c r="R17" s="21"/>
      <c r="S17" s="21"/>
      <c r="T17" s="21"/>
      <c r="U17" s="22"/>
      <c r="V17" s="23">
        <f t="shared" si="8"/>
        <v>0</v>
      </c>
      <c r="W17" s="27" t="str">
        <f t="shared" si="10"/>
        <v/>
      </c>
      <c r="X17" s="21"/>
      <c r="Y17" s="21"/>
      <c r="Z17" s="21"/>
      <c r="AA17" s="21"/>
      <c r="AB17" s="21"/>
      <c r="AC17" s="21"/>
      <c r="AD17" s="23">
        <f t="shared" si="9"/>
        <v>0</v>
      </c>
      <c r="AE17" s="28"/>
      <c r="AF17" s="28"/>
      <c r="AG17" s="28"/>
      <c r="AH17" s="25" t="e">
        <f t="shared" si="11"/>
        <v>#DIV/0!</v>
      </c>
      <c r="AI17" s="25"/>
    </row>
    <row r="18" spans="1:35" ht="12" thickBot="1">
      <c r="A18" s="26"/>
      <c r="B18" s="29"/>
      <c r="C18" s="29">
        <v>37</v>
      </c>
      <c r="D18" s="30">
        <f t="shared" si="0"/>
        <v>0</v>
      </c>
      <c r="E18" s="30">
        <f t="shared" si="1"/>
        <v>0</v>
      </c>
      <c r="F18" s="30">
        <f t="shared" si="2"/>
        <v>0</v>
      </c>
      <c r="G18" s="30">
        <f t="shared" si="3"/>
        <v>0</v>
      </c>
      <c r="H18" s="30">
        <f t="shared" si="4"/>
        <v>0</v>
      </c>
      <c r="I18" s="30">
        <f t="shared" si="5"/>
        <v>0</v>
      </c>
      <c r="J18" s="30">
        <f t="shared" si="6"/>
        <v>0</v>
      </c>
      <c r="K18" s="31">
        <f t="shared" si="7"/>
        <v>0</v>
      </c>
      <c r="L18" s="32">
        <v>7619.0007999999998</v>
      </c>
      <c r="M18" s="32">
        <v>32.913899999999998</v>
      </c>
      <c r="N18" s="32">
        <v>36.850299999999997</v>
      </c>
      <c r="O18" s="32">
        <v>38.5593</v>
      </c>
      <c r="P18" s="33"/>
      <c r="Q18" s="33"/>
      <c r="R18" s="33"/>
      <c r="S18" s="33"/>
      <c r="T18" s="33"/>
      <c r="U18" s="34"/>
      <c r="V18" s="32">
        <f t="shared" si="8"/>
        <v>0</v>
      </c>
      <c r="W18" s="37" t="str">
        <f t="shared" si="10"/>
        <v/>
      </c>
      <c r="X18" s="33"/>
      <c r="Y18" s="33"/>
      <c r="Z18" s="33"/>
      <c r="AA18" s="33"/>
      <c r="AB18" s="33"/>
      <c r="AC18" s="33"/>
      <c r="AD18" s="32">
        <f t="shared" si="9"/>
        <v>0</v>
      </c>
      <c r="AE18" s="29"/>
      <c r="AF18" s="29"/>
      <c r="AG18" s="29"/>
      <c r="AH18" s="25" t="e">
        <f t="shared" si="11"/>
        <v>#DIV/0!</v>
      </c>
      <c r="AI18" s="25"/>
    </row>
    <row r="19" spans="1:35" ht="12" thickBot="1">
      <c r="A19" s="26"/>
      <c r="B19" s="17" t="s">
        <v>27</v>
      </c>
      <c r="C19" s="17">
        <v>22</v>
      </c>
      <c r="D19" s="38">
        <f t="shared" si="0"/>
        <v>0</v>
      </c>
      <c r="E19" s="38">
        <f t="shared" si="1"/>
        <v>0</v>
      </c>
      <c r="F19" s="38">
        <f t="shared" si="2"/>
        <v>0</v>
      </c>
      <c r="G19" s="38">
        <f t="shared" si="3"/>
        <v>0</v>
      </c>
      <c r="H19" s="38">
        <f t="shared" si="4"/>
        <v>0</v>
      </c>
      <c r="I19" s="38">
        <f t="shared" si="5"/>
        <v>0</v>
      </c>
      <c r="J19" s="38">
        <f t="shared" si="6"/>
        <v>0</v>
      </c>
      <c r="K19" s="39">
        <f t="shared" si="7"/>
        <v>0</v>
      </c>
      <c r="L19" s="20">
        <v>110402.7144</v>
      </c>
      <c r="M19" s="20">
        <v>40.726500000000001</v>
      </c>
      <c r="N19" s="20">
        <v>41.792900000000003</v>
      </c>
      <c r="O19" s="20">
        <v>44.114600000000003</v>
      </c>
      <c r="P19" s="36"/>
      <c r="Q19" s="36"/>
      <c r="R19" s="36"/>
      <c r="S19" s="36"/>
      <c r="T19" s="36"/>
      <c r="U19" s="22"/>
      <c r="V19" s="20">
        <f t="shared" si="8"/>
        <v>0</v>
      </c>
      <c r="W19" s="24" t="str">
        <f>IF(OR(AND(P19="",Q19="",R19="",S19=""),AND(L19=P19,M19=Q19,N19=R19,O19=S19)),"","!")</f>
        <v/>
      </c>
      <c r="X19" s="36"/>
      <c r="Y19" s="36"/>
      <c r="Z19" s="36"/>
      <c r="AA19" s="36"/>
      <c r="AB19" s="36"/>
      <c r="AC19" s="36"/>
      <c r="AD19" s="20">
        <f t="shared" si="9"/>
        <v>0</v>
      </c>
      <c r="AE19" s="25" t="e">
        <f>RBJM($P19:$Q22,X19:Y22)</f>
        <v>#VALUE!</v>
      </c>
      <c r="AF19" s="25" t="e">
        <f>RBJM($D19:$E22,H19:I22)</f>
        <v>#VALUE!</v>
      </c>
      <c r="AG19" s="25" t="e">
        <f>RBJM($F19:$G22,J19:K22)</f>
        <v>#VALUE!</v>
      </c>
      <c r="AH19" s="25" t="e">
        <f t="shared" si="11"/>
        <v>#DIV/0!</v>
      </c>
      <c r="AI19" s="25"/>
    </row>
    <row r="20" spans="1:35" ht="12" thickBot="1">
      <c r="A20" s="26"/>
      <c r="B20" s="26" t="s">
        <v>28</v>
      </c>
      <c r="C20" s="26">
        <v>27</v>
      </c>
      <c r="D20" s="18">
        <f t="shared" si="0"/>
        <v>0</v>
      </c>
      <c r="E20" s="18">
        <f t="shared" si="1"/>
        <v>0</v>
      </c>
      <c r="F20" s="18">
        <f t="shared" si="2"/>
        <v>0</v>
      </c>
      <c r="G20" s="18">
        <f t="shared" si="3"/>
        <v>0</v>
      </c>
      <c r="H20" s="18">
        <f t="shared" si="4"/>
        <v>0</v>
      </c>
      <c r="I20" s="18">
        <f t="shared" si="5"/>
        <v>0</v>
      </c>
      <c r="J20" s="18">
        <f t="shared" si="6"/>
        <v>0</v>
      </c>
      <c r="K20" s="19">
        <f t="shared" si="7"/>
        <v>0</v>
      </c>
      <c r="L20" s="23">
        <v>50857.481599999999</v>
      </c>
      <c r="M20" s="23">
        <v>37.984200000000001</v>
      </c>
      <c r="N20" s="23">
        <v>39.485399999999998</v>
      </c>
      <c r="O20" s="23">
        <v>42.078699999999998</v>
      </c>
      <c r="P20" s="21"/>
      <c r="Q20" s="21"/>
      <c r="R20" s="21"/>
      <c r="S20" s="21"/>
      <c r="T20" s="21"/>
      <c r="U20" s="22"/>
      <c r="V20" s="23">
        <f t="shared" si="8"/>
        <v>0</v>
      </c>
      <c r="W20" s="27" t="str">
        <f t="shared" si="10"/>
        <v/>
      </c>
      <c r="X20" s="21"/>
      <c r="Y20" s="21"/>
      <c r="Z20" s="21"/>
      <c r="AA20" s="21"/>
      <c r="AB20" s="21"/>
      <c r="AC20" s="21"/>
      <c r="AD20" s="23">
        <f t="shared" si="9"/>
        <v>0</v>
      </c>
      <c r="AE20" s="28"/>
      <c r="AF20" s="28"/>
      <c r="AG20" s="28"/>
      <c r="AH20" s="25" t="e">
        <f t="shared" si="11"/>
        <v>#DIV/0!</v>
      </c>
      <c r="AI20" s="25"/>
    </row>
    <row r="21" spans="1:35" ht="12" thickBot="1">
      <c r="A21" s="26"/>
      <c r="B21" s="26"/>
      <c r="C21" s="26">
        <v>32</v>
      </c>
      <c r="D21" s="18">
        <f t="shared" si="0"/>
        <v>0</v>
      </c>
      <c r="E21" s="18">
        <f t="shared" si="1"/>
        <v>0</v>
      </c>
      <c r="F21" s="18">
        <f t="shared" si="2"/>
        <v>0</v>
      </c>
      <c r="G21" s="18">
        <f t="shared" si="3"/>
        <v>0</v>
      </c>
      <c r="H21" s="18">
        <f t="shared" si="4"/>
        <v>0</v>
      </c>
      <c r="I21" s="18">
        <f t="shared" si="5"/>
        <v>0</v>
      </c>
      <c r="J21" s="18">
        <f t="shared" si="6"/>
        <v>0</v>
      </c>
      <c r="K21" s="19">
        <f t="shared" si="7"/>
        <v>0</v>
      </c>
      <c r="L21" s="23">
        <v>27464.862400000002</v>
      </c>
      <c r="M21" s="23">
        <v>35.761099999999999</v>
      </c>
      <c r="N21" s="23">
        <v>38.28</v>
      </c>
      <c r="O21" s="23">
        <v>40.265000000000001</v>
      </c>
      <c r="P21" s="21"/>
      <c r="Q21" s="21"/>
      <c r="R21" s="21"/>
      <c r="S21" s="21"/>
      <c r="T21" s="21"/>
      <c r="U21" s="22"/>
      <c r="V21" s="23">
        <f t="shared" si="8"/>
        <v>0</v>
      </c>
      <c r="W21" s="27" t="str">
        <f t="shared" si="10"/>
        <v/>
      </c>
      <c r="X21" s="21"/>
      <c r="Y21" s="21"/>
      <c r="Z21" s="21"/>
      <c r="AA21" s="21"/>
      <c r="AB21" s="21"/>
      <c r="AC21" s="21"/>
      <c r="AD21" s="23">
        <f t="shared" si="9"/>
        <v>0</v>
      </c>
      <c r="AE21" s="28"/>
      <c r="AF21" s="28"/>
      <c r="AG21" s="28"/>
      <c r="AH21" s="25" t="e">
        <f t="shared" si="11"/>
        <v>#DIV/0!</v>
      </c>
      <c r="AI21" s="25"/>
    </row>
    <row r="22" spans="1:35" ht="12" thickBot="1">
      <c r="A22" s="26"/>
      <c r="B22" s="29"/>
      <c r="C22" s="29">
        <v>37</v>
      </c>
      <c r="D22" s="30">
        <f t="shared" si="0"/>
        <v>0</v>
      </c>
      <c r="E22" s="30">
        <f t="shared" si="1"/>
        <v>0</v>
      </c>
      <c r="F22" s="30">
        <f t="shared" si="2"/>
        <v>0</v>
      </c>
      <c r="G22" s="30">
        <f t="shared" si="3"/>
        <v>0</v>
      </c>
      <c r="H22" s="30">
        <f t="shared" si="4"/>
        <v>0</v>
      </c>
      <c r="I22" s="30">
        <f t="shared" si="5"/>
        <v>0</v>
      </c>
      <c r="J22" s="30">
        <f t="shared" si="6"/>
        <v>0</v>
      </c>
      <c r="K22" s="31">
        <f t="shared" si="7"/>
        <v>0</v>
      </c>
      <c r="L22" s="32">
        <v>14664.357599999999</v>
      </c>
      <c r="M22" s="32">
        <v>33.380800000000001</v>
      </c>
      <c r="N22" s="32">
        <v>37.028799999999997</v>
      </c>
      <c r="O22" s="32">
        <v>38.348999999999997</v>
      </c>
      <c r="P22" s="33"/>
      <c r="Q22" s="33"/>
      <c r="R22" s="33"/>
      <c r="S22" s="33"/>
      <c r="T22" s="33"/>
      <c r="U22" s="34"/>
      <c r="V22" s="32">
        <f t="shared" si="8"/>
        <v>0</v>
      </c>
      <c r="W22" s="37" t="str">
        <f t="shared" si="10"/>
        <v/>
      </c>
      <c r="X22" s="33"/>
      <c r="Y22" s="33"/>
      <c r="Z22" s="33"/>
      <c r="AA22" s="33"/>
      <c r="AB22" s="33"/>
      <c r="AC22" s="33"/>
      <c r="AD22" s="32">
        <f t="shared" si="9"/>
        <v>0</v>
      </c>
      <c r="AE22" s="29"/>
      <c r="AF22" s="29"/>
      <c r="AG22" s="29"/>
      <c r="AH22" s="25" t="e">
        <f>AB22/T22</f>
        <v>#DIV/0!</v>
      </c>
      <c r="AI22" s="25"/>
    </row>
    <row r="23" spans="1:35" ht="12" thickBot="1">
      <c r="A23" s="26"/>
      <c r="B23" s="17" t="s">
        <v>29</v>
      </c>
      <c r="C23" s="17">
        <v>22</v>
      </c>
      <c r="D23" s="40">
        <f>P23</f>
        <v>46600</v>
      </c>
      <c r="E23" s="40">
        <f>R23</f>
        <v>45.25</v>
      </c>
      <c r="F23" s="40">
        <f>P23</f>
        <v>46600</v>
      </c>
      <c r="G23" s="40">
        <f>S23</f>
        <v>46.76</v>
      </c>
      <c r="H23" s="40">
        <f>X23</f>
        <v>50025.2</v>
      </c>
      <c r="I23" s="40">
        <f>Z23</f>
        <v>45.726700000000001</v>
      </c>
      <c r="J23" s="40">
        <f>X23</f>
        <v>50025.2</v>
      </c>
      <c r="K23" s="41">
        <f>AA23</f>
        <v>47.748100000000001</v>
      </c>
      <c r="L23" s="20">
        <v>71997.502399999998</v>
      </c>
      <c r="M23" s="20">
        <v>41.258699999999997</v>
      </c>
      <c r="N23" s="20">
        <v>44.386400000000002</v>
      </c>
      <c r="O23" s="20">
        <v>45.951999999999998</v>
      </c>
      <c r="P23" s="36">
        <v>46600</v>
      </c>
      <c r="Q23" s="36">
        <v>41.14</v>
      </c>
      <c r="R23" s="36">
        <v>45.25</v>
      </c>
      <c r="S23" s="36">
        <v>46.76</v>
      </c>
      <c r="T23" s="36">
        <v>12.438000000000001</v>
      </c>
      <c r="U23" s="22"/>
      <c r="V23" s="20">
        <f>T23/3600</f>
        <v>3.4550000000000002E-3</v>
      </c>
      <c r="W23" s="24" t="str">
        <f>IF(OR(AND(P23="",Q23="",R23="",S23=""),AND(L23=P23,M23=Q23,N23=R23,O23=S23)),"","!")</f>
        <v>!</v>
      </c>
      <c r="X23" s="36">
        <v>50025.2</v>
      </c>
      <c r="Y23" s="36">
        <v>41.7879</v>
      </c>
      <c r="Z23" s="36">
        <v>45.726700000000001</v>
      </c>
      <c r="AA23" s="36">
        <v>47.748100000000001</v>
      </c>
      <c r="AB23" s="36">
        <v>603.34400000000005</v>
      </c>
      <c r="AC23" s="36"/>
      <c r="AD23" s="20">
        <f>AB23/3600</f>
        <v>0.16759555555555558</v>
      </c>
      <c r="AE23" s="25">
        <f>RBJM($P23:$Q26,X23:Y26)</f>
        <v>-29.458768847883931</v>
      </c>
      <c r="AF23" s="25">
        <f>RBJM($D23:$E26,H23:I26)</f>
        <v>-34.655364016286597</v>
      </c>
      <c r="AG23" s="25">
        <f>RBJM($F23:$G26,J23:K26)</f>
        <v>-33.819963234336413</v>
      </c>
      <c r="AH23" s="25">
        <f>AB23/T23</f>
        <v>48.508120276571795</v>
      </c>
      <c r="AI23" s="25"/>
    </row>
    <row r="24" spans="1:35" ht="12" thickBot="1">
      <c r="A24" s="26"/>
      <c r="B24" s="26" t="s">
        <v>30</v>
      </c>
      <c r="C24" s="26">
        <v>27</v>
      </c>
      <c r="D24" s="42">
        <f>P24</f>
        <v>20926.8</v>
      </c>
      <c r="E24" s="42">
        <f>R24</f>
        <v>43.802100000000003</v>
      </c>
      <c r="F24" s="42">
        <f>P24</f>
        <v>20926.8</v>
      </c>
      <c r="G24" s="42">
        <f>S24</f>
        <v>44.630499999999998</v>
      </c>
      <c r="H24" s="42">
        <f>X24</f>
        <v>19188.8</v>
      </c>
      <c r="I24" s="42">
        <f>Z24</f>
        <v>44.463299999999997</v>
      </c>
      <c r="J24" s="42">
        <f>X24</f>
        <v>19188.8</v>
      </c>
      <c r="K24" s="43">
        <f>AA24</f>
        <v>45.620699999999999</v>
      </c>
      <c r="L24" s="23">
        <v>30177.303199999998</v>
      </c>
      <c r="M24" s="23">
        <v>38.763399999999997</v>
      </c>
      <c r="N24" s="23">
        <v>42.910499999999999</v>
      </c>
      <c r="O24" s="23">
        <v>43.8247</v>
      </c>
      <c r="P24" s="21">
        <v>20926.8</v>
      </c>
      <c r="Q24" s="21">
        <v>39.418799999999997</v>
      </c>
      <c r="R24" s="21">
        <v>43.802100000000003</v>
      </c>
      <c r="S24" s="21">
        <v>44.630499999999998</v>
      </c>
      <c r="T24" s="21">
        <v>10.156000000000001</v>
      </c>
      <c r="U24" s="22"/>
      <c r="V24" s="23">
        <f>T24/3600</f>
        <v>2.8211111111111115E-3</v>
      </c>
      <c r="W24" s="27" t="str">
        <f>IF(OR(AND(P24="",Q24="",R24="",S24=""),AND(L24=P24,M24=Q24,N24=R24,O24=S24)),"","!")</f>
        <v>!</v>
      </c>
      <c r="X24" s="21">
        <v>19188.8</v>
      </c>
      <c r="Y24" s="21">
        <v>39.9208</v>
      </c>
      <c r="Z24" s="21">
        <v>44.463299999999997</v>
      </c>
      <c r="AA24" s="21">
        <v>45.620699999999999</v>
      </c>
      <c r="AB24" s="21">
        <v>305.625</v>
      </c>
      <c r="AC24" s="21"/>
      <c r="AD24" s="23">
        <f>AB24/3600</f>
        <v>8.4895833333333337E-2</v>
      </c>
      <c r="AE24" s="28"/>
      <c r="AF24" s="28"/>
      <c r="AG24" s="28"/>
      <c r="AH24" s="25">
        <f>AB24/T24</f>
        <v>30.093048444269396</v>
      </c>
      <c r="AI24" s="25"/>
    </row>
    <row r="25" spans="1:35" ht="12" thickBot="1">
      <c r="A25" s="26"/>
      <c r="B25" s="26"/>
      <c r="C25" s="26">
        <v>32</v>
      </c>
      <c r="D25" s="42">
        <f>P25</f>
        <v>11146.4</v>
      </c>
      <c r="E25" s="42">
        <f>R25</f>
        <v>42.411700000000003</v>
      </c>
      <c r="F25" s="42">
        <f>P25</f>
        <v>11146.4</v>
      </c>
      <c r="G25" s="42">
        <f>S25</f>
        <v>42.734999999999999</v>
      </c>
      <c r="H25" s="42">
        <f>X25</f>
        <v>9761.6</v>
      </c>
      <c r="I25" s="42">
        <f>Z25</f>
        <v>43.137900000000002</v>
      </c>
      <c r="J25" s="42">
        <f>X25</f>
        <v>9761.6</v>
      </c>
      <c r="K25" s="43">
        <f>AA25</f>
        <v>43.581600000000002</v>
      </c>
      <c r="L25" s="23">
        <v>15603.314399999999</v>
      </c>
      <c r="M25" s="23">
        <v>37.031599999999997</v>
      </c>
      <c r="N25" s="23">
        <v>41.412500000000001</v>
      </c>
      <c r="O25" s="23">
        <v>41.752800000000001</v>
      </c>
      <c r="P25" s="21">
        <v>11146.4</v>
      </c>
      <c r="Q25" s="21">
        <v>37.898899999999998</v>
      </c>
      <c r="R25" s="21">
        <v>42.411700000000003</v>
      </c>
      <c r="S25" s="21">
        <v>42.734999999999999</v>
      </c>
      <c r="T25" s="21">
        <v>9.5310000000000006</v>
      </c>
      <c r="U25" s="22"/>
      <c r="V25" s="23">
        <f>T25/3600</f>
        <v>2.6475000000000001E-3</v>
      </c>
      <c r="W25" s="27" t="str">
        <f>IF(OR(AND(P25="",Q25="",R25="",S25=""),AND(L25=P25,M25=Q25,N25=R25,O25=S25)),"","!")</f>
        <v>!</v>
      </c>
      <c r="X25" s="21">
        <v>9761.6</v>
      </c>
      <c r="Y25" s="21">
        <v>38.547199999999997</v>
      </c>
      <c r="Z25" s="21">
        <v>43.137900000000002</v>
      </c>
      <c r="AA25" s="21">
        <v>43.581600000000002</v>
      </c>
      <c r="AB25" s="21">
        <v>171.60900000000001</v>
      </c>
      <c r="AC25" s="21"/>
      <c r="AD25" s="23">
        <f>AB25/3600</f>
        <v>4.7669166666666672E-2</v>
      </c>
      <c r="AE25" s="28"/>
      <c r="AF25" s="28"/>
      <c r="AG25" s="28"/>
      <c r="AH25" s="25">
        <f>AB25/T25</f>
        <v>18.005350960025179</v>
      </c>
      <c r="AI25" s="25"/>
    </row>
    <row r="26" spans="1:35" ht="12" thickBot="1">
      <c r="A26" s="26"/>
      <c r="B26" s="29"/>
      <c r="C26" s="29">
        <v>37</v>
      </c>
      <c r="D26" s="44">
        <f>P26</f>
        <v>6272.4</v>
      </c>
      <c r="E26" s="44">
        <f>R26</f>
        <v>41.2639</v>
      </c>
      <c r="F26" s="44">
        <f>P26</f>
        <v>6272.4</v>
      </c>
      <c r="G26" s="44">
        <f>S26</f>
        <v>41.2423</v>
      </c>
      <c r="H26" s="44">
        <f>X26</f>
        <v>5529.6</v>
      </c>
      <c r="I26" s="44">
        <f>Z26</f>
        <v>41.733600000000003</v>
      </c>
      <c r="J26" s="44">
        <f>X26</f>
        <v>5529.6</v>
      </c>
      <c r="K26" s="45">
        <f>AA26</f>
        <v>41.761099999999999</v>
      </c>
      <c r="L26" s="32">
        <v>8644.8295999999991</v>
      </c>
      <c r="M26" s="32">
        <v>35.134300000000003</v>
      </c>
      <c r="N26" s="32">
        <v>39.826300000000003</v>
      </c>
      <c r="O26" s="32">
        <v>39.631700000000002</v>
      </c>
      <c r="P26" s="33">
        <v>6272.4</v>
      </c>
      <c r="Q26" s="33">
        <v>36.0886</v>
      </c>
      <c r="R26" s="33">
        <v>41.2639</v>
      </c>
      <c r="S26" s="33">
        <v>41.2423</v>
      </c>
      <c r="T26" s="33">
        <v>8.6880000000000006</v>
      </c>
      <c r="U26" s="34"/>
      <c r="V26" s="32">
        <f>T26/3600</f>
        <v>2.4133333333333333E-3</v>
      </c>
      <c r="W26" s="37" t="str">
        <f>IF(OR(AND(P26="",Q26="",R26="",S26=""),AND(L26=P26,M26=Q26,N26=R26,O26=S26)),"","!")</f>
        <v>!</v>
      </c>
      <c r="X26" s="33">
        <v>5529.6</v>
      </c>
      <c r="Y26" s="33">
        <v>36.997</v>
      </c>
      <c r="Z26" s="33">
        <v>41.733600000000003</v>
      </c>
      <c r="AA26" s="33">
        <v>41.761099999999999</v>
      </c>
      <c r="AB26" s="33">
        <v>76.156000000000006</v>
      </c>
      <c r="AC26" s="33"/>
      <c r="AD26" s="32">
        <f>AB26/3600</f>
        <v>2.1154444444444444E-2</v>
      </c>
      <c r="AE26" s="29"/>
      <c r="AF26" s="29"/>
      <c r="AG26" s="29"/>
      <c r="AH26" s="25">
        <f t="shared" ref="AH26:AH74" si="12">AB26/T26</f>
        <v>8.7656537753222832</v>
      </c>
      <c r="AI26" s="25"/>
    </row>
    <row r="27" spans="1:35" ht="12" thickBot="1">
      <c r="A27" s="26"/>
      <c r="B27" s="17" t="s">
        <v>31</v>
      </c>
      <c r="C27" s="17">
        <v>22</v>
      </c>
      <c r="D27" s="40">
        <f t="shared" si="0"/>
        <v>0</v>
      </c>
      <c r="E27" s="40">
        <f t="shared" si="1"/>
        <v>0</v>
      </c>
      <c r="F27" s="40">
        <f t="shared" si="2"/>
        <v>0</v>
      </c>
      <c r="G27" s="40">
        <f t="shared" si="3"/>
        <v>0</v>
      </c>
      <c r="H27" s="40">
        <f>X27</f>
        <v>0</v>
      </c>
      <c r="I27" s="40">
        <f>Z27</f>
        <v>0</v>
      </c>
      <c r="J27" s="40">
        <f>X27</f>
        <v>0</v>
      </c>
      <c r="K27" s="41">
        <f>AA27</f>
        <v>0</v>
      </c>
      <c r="L27" s="20">
        <v>185890.88</v>
      </c>
      <c r="M27" s="20">
        <v>42.308700000000002</v>
      </c>
      <c r="N27" s="20">
        <v>42.799100000000003</v>
      </c>
      <c r="O27" s="20">
        <v>44.401600000000002</v>
      </c>
      <c r="P27" s="36"/>
      <c r="Q27" s="36"/>
      <c r="R27" s="36"/>
      <c r="S27" s="36"/>
      <c r="T27" s="36"/>
      <c r="U27" s="22"/>
      <c r="V27" s="20">
        <f t="shared" si="8"/>
        <v>0</v>
      </c>
      <c r="W27" s="24" t="str">
        <f>IF(OR(AND(P27="",Q27="",R27="",S27=""),AND(L27=P27,M27=Q27,N27=R27,O27=S27)),"","!")</f>
        <v/>
      </c>
      <c r="X27" s="36"/>
      <c r="Y27" s="36"/>
      <c r="Z27" s="36"/>
      <c r="AA27" s="36"/>
      <c r="AB27" s="36"/>
      <c r="AC27" s="36"/>
      <c r="AD27" s="20">
        <f>AB27/3600</f>
        <v>0</v>
      </c>
      <c r="AE27" s="25" t="e">
        <f>RBJM($P27:$Q30,X27:Y30)</f>
        <v>#VALUE!</v>
      </c>
      <c r="AF27" s="25" t="e">
        <f>RBJM($D27:$E30,H27:I30)</f>
        <v>#VALUE!</v>
      </c>
      <c r="AG27" s="25" t="e">
        <f>RBJM($F27:$G30,J27:K30)</f>
        <v>#VALUE!</v>
      </c>
      <c r="AH27" s="25" t="e">
        <f t="shared" si="12"/>
        <v>#DIV/0!</v>
      </c>
      <c r="AI27" s="25"/>
    </row>
    <row r="28" spans="1:35" ht="12" thickBot="1">
      <c r="A28" s="26"/>
      <c r="B28" s="26" t="s">
        <v>32</v>
      </c>
      <c r="C28" s="26">
        <v>27</v>
      </c>
      <c r="D28" s="42">
        <f t="shared" si="0"/>
        <v>0</v>
      </c>
      <c r="E28" s="42">
        <f t="shared" si="1"/>
        <v>0</v>
      </c>
      <c r="F28" s="42">
        <f t="shared" si="2"/>
        <v>0</v>
      </c>
      <c r="G28" s="42">
        <f t="shared" si="3"/>
        <v>0</v>
      </c>
      <c r="H28" s="42">
        <f>X28</f>
        <v>0</v>
      </c>
      <c r="I28" s="42">
        <f>Z28</f>
        <v>0</v>
      </c>
      <c r="J28" s="42">
        <f>X28</f>
        <v>0</v>
      </c>
      <c r="K28" s="43">
        <f>AA28</f>
        <v>0</v>
      </c>
      <c r="L28" s="23">
        <v>82516.644</v>
      </c>
      <c r="M28" s="23">
        <v>37.139499999999998</v>
      </c>
      <c r="N28" s="23">
        <v>40.886699999999998</v>
      </c>
      <c r="O28" s="23">
        <v>42.970999999999997</v>
      </c>
      <c r="P28" s="21"/>
      <c r="Q28" s="21"/>
      <c r="R28" s="21"/>
      <c r="S28" s="21"/>
      <c r="T28" s="21"/>
      <c r="U28" s="22"/>
      <c r="V28" s="23">
        <f t="shared" si="8"/>
        <v>0</v>
      </c>
      <c r="W28" s="27" t="str">
        <f t="shared" si="10"/>
        <v/>
      </c>
      <c r="X28" s="21"/>
      <c r="Y28" s="21"/>
      <c r="Z28" s="21"/>
      <c r="AA28" s="21"/>
      <c r="AB28" s="21"/>
      <c r="AC28" s="21"/>
      <c r="AD28" s="23">
        <f>AB28/3600</f>
        <v>0</v>
      </c>
      <c r="AE28" s="28"/>
      <c r="AF28" s="28"/>
      <c r="AG28" s="28"/>
      <c r="AH28" s="25" t="e">
        <f t="shared" si="12"/>
        <v>#DIV/0!</v>
      </c>
      <c r="AI28" s="25"/>
    </row>
    <row r="29" spans="1:35" ht="12" thickBot="1">
      <c r="A29" s="26"/>
      <c r="B29" s="26"/>
      <c r="C29" s="26">
        <v>32</v>
      </c>
      <c r="D29" s="42">
        <f t="shared" si="0"/>
        <v>0</v>
      </c>
      <c r="E29" s="42">
        <f t="shared" si="1"/>
        <v>0</v>
      </c>
      <c r="F29" s="42">
        <f t="shared" si="2"/>
        <v>0</v>
      </c>
      <c r="G29" s="42">
        <f t="shared" si="3"/>
        <v>0</v>
      </c>
      <c r="H29" s="42">
        <f>X29</f>
        <v>0</v>
      </c>
      <c r="I29" s="42">
        <f>Z29</f>
        <v>0</v>
      </c>
      <c r="J29" s="42">
        <f>X29</f>
        <v>0</v>
      </c>
      <c r="K29" s="43">
        <f>AA29</f>
        <v>0</v>
      </c>
      <c r="L29" s="23">
        <v>41722.555999999997</v>
      </c>
      <c r="M29" s="23">
        <v>34.584000000000003</v>
      </c>
      <c r="N29" s="23">
        <v>39.267299999999999</v>
      </c>
      <c r="O29" s="23">
        <v>41.751199999999997</v>
      </c>
      <c r="P29" s="21"/>
      <c r="Q29" s="21"/>
      <c r="R29" s="21"/>
      <c r="S29" s="21"/>
      <c r="T29" s="21"/>
      <c r="U29" s="22"/>
      <c r="V29" s="23">
        <f t="shared" si="8"/>
        <v>0</v>
      </c>
      <c r="W29" s="27" t="str">
        <f t="shared" si="10"/>
        <v/>
      </c>
      <c r="X29" s="21"/>
      <c r="Y29" s="21"/>
      <c r="Z29" s="21"/>
      <c r="AA29" s="21"/>
      <c r="AB29" s="21"/>
      <c r="AC29" s="21"/>
      <c r="AD29" s="23">
        <f>AB29/3600</f>
        <v>0</v>
      </c>
      <c r="AE29" s="28"/>
      <c r="AF29" s="28"/>
      <c r="AG29" s="28"/>
      <c r="AH29" s="25" t="e">
        <f t="shared" si="12"/>
        <v>#DIV/0!</v>
      </c>
      <c r="AI29" s="25"/>
    </row>
    <row r="30" spans="1:35" ht="12" thickBot="1">
      <c r="A30" s="29"/>
      <c r="B30" s="29"/>
      <c r="C30" s="29">
        <v>37</v>
      </c>
      <c r="D30" s="44">
        <f t="shared" si="0"/>
        <v>0</v>
      </c>
      <c r="E30" s="44">
        <f t="shared" si="1"/>
        <v>0</v>
      </c>
      <c r="F30" s="44">
        <f t="shared" si="2"/>
        <v>0</v>
      </c>
      <c r="G30" s="44">
        <f t="shared" si="3"/>
        <v>0</v>
      </c>
      <c r="H30" s="44">
        <f>X30</f>
        <v>0</v>
      </c>
      <c r="I30" s="44">
        <f>Z30</f>
        <v>0</v>
      </c>
      <c r="J30" s="44">
        <f>X30</f>
        <v>0</v>
      </c>
      <c r="K30" s="45">
        <f>AA30</f>
        <v>0</v>
      </c>
      <c r="L30" s="32">
        <v>22227.029600000002</v>
      </c>
      <c r="M30" s="32">
        <v>32.207500000000003</v>
      </c>
      <c r="N30" s="32">
        <v>37.958799999999997</v>
      </c>
      <c r="O30" s="32">
        <v>40.658299999999997</v>
      </c>
      <c r="P30" s="33"/>
      <c r="Q30" s="33"/>
      <c r="R30" s="33"/>
      <c r="S30" s="33"/>
      <c r="T30" s="33"/>
      <c r="U30" s="34"/>
      <c r="V30" s="32">
        <f t="shared" si="8"/>
        <v>0</v>
      </c>
      <c r="W30" s="37" t="str">
        <f t="shared" si="10"/>
        <v/>
      </c>
      <c r="X30" s="33"/>
      <c r="Y30" s="33"/>
      <c r="Z30" s="33"/>
      <c r="AA30" s="33"/>
      <c r="AB30" s="33"/>
      <c r="AC30" s="33"/>
      <c r="AD30" s="32">
        <f>AB30/3600</f>
        <v>0</v>
      </c>
      <c r="AE30" s="29"/>
      <c r="AF30" s="29"/>
      <c r="AG30" s="29"/>
      <c r="AH30" s="25" t="e">
        <f t="shared" si="12"/>
        <v>#DIV/0!</v>
      </c>
      <c r="AI30" s="25"/>
    </row>
    <row r="31" spans="1:35" ht="12" thickBot="1">
      <c r="A31" s="17" t="s">
        <v>33</v>
      </c>
      <c r="B31" s="17" t="s">
        <v>34</v>
      </c>
      <c r="C31" s="17">
        <v>22</v>
      </c>
      <c r="D31" s="40">
        <f t="shared" si="0"/>
        <v>20143.2</v>
      </c>
      <c r="E31" s="40">
        <f t="shared" si="1"/>
        <v>43.849499999999999</v>
      </c>
      <c r="F31" s="40">
        <f t="shared" si="2"/>
        <v>20143.2</v>
      </c>
      <c r="G31" s="40">
        <f t="shared" si="3"/>
        <v>44.631100000000004</v>
      </c>
      <c r="H31" s="40">
        <f t="shared" si="4"/>
        <v>17805.2</v>
      </c>
      <c r="I31" s="40">
        <f t="shared" si="5"/>
        <v>44.627299999999998</v>
      </c>
      <c r="J31" s="40">
        <f t="shared" si="6"/>
        <v>17805.2</v>
      </c>
      <c r="K31" s="41">
        <f t="shared" si="7"/>
        <v>45.926900000000003</v>
      </c>
      <c r="L31" s="20">
        <v>21504.815999999999</v>
      </c>
      <c r="M31" s="20">
        <v>41.884500000000003</v>
      </c>
      <c r="N31" s="20">
        <v>43.823</v>
      </c>
      <c r="O31" s="20">
        <v>44.421500000000002</v>
      </c>
      <c r="P31" s="36">
        <v>20143.2</v>
      </c>
      <c r="Q31" s="36">
        <v>41.747399999999999</v>
      </c>
      <c r="R31" s="36">
        <v>43.849499999999999</v>
      </c>
      <c r="S31" s="36">
        <v>44.631100000000004</v>
      </c>
      <c r="T31" s="36">
        <v>2.8119999999999998</v>
      </c>
      <c r="U31" s="22"/>
      <c r="V31" s="20">
        <f t="shared" si="8"/>
        <v>7.8111111111111111E-4</v>
      </c>
      <c r="W31" s="24" t="str">
        <f>IF(OR(AND(P31="",Q31="",R31="",S31=""),AND(L31=P31,M31=Q31,N31=R31,O31=S31)),"","!")</f>
        <v>!</v>
      </c>
      <c r="X31" s="36">
        <v>17805.2</v>
      </c>
      <c r="Y31" s="36">
        <v>42.859699999999997</v>
      </c>
      <c r="Z31" s="36">
        <v>44.627299999999998</v>
      </c>
      <c r="AA31" s="36">
        <v>45.926900000000003</v>
      </c>
      <c r="AB31" s="36">
        <v>132.64099999999999</v>
      </c>
      <c r="AC31" s="36"/>
      <c r="AD31" s="20">
        <f t="shared" si="9"/>
        <v>3.6844722222222223E-2</v>
      </c>
      <c r="AE31" s="25">
        <f>RBJM($P31:$Q34,X31:Y34)</f>
        <v>-33.374700900190646</v>
      </c>
      <c r="AF31" s="25">
        <f>RBJM($D31:$E34,H31:I34)</f>
        <v>-34.153057405388601</v>
      </c>
      <c r="AG31" s="25">
        <f>RBJM($F31:$G34,J31:K34)</f>
        <v>-41.997555373605223</v>
      </c>
      <c r="AH31" s="25">
        <f t="shared" si="12"/>
        <v>47.169630156472259</v>
      </c>
      <c r="AI31" s="25"/>
    </row>
    <row r="32" spans="1:35" ht="12" thickBot="1">
      <c r="A32" s="26" t="s">
        <v>35</v>
      </c>
      <c r="B32" s="26" t="s">
        <v>36</v>
      </c>
      <c r="C32" s="26">
        <v>27</v>
      </c>
      <c r="D32" s="42">
        <f t="shared" si="0"/>
        <v>10846.8</v>
      </c>
      <c r="E32" s="42">
        <f t="shared" si="1"/>
        <v>41.054900000000004</v>
      </c>
      <c r="F32" s="42">
        <f t="shared" si="2"/>
        <v>10846.8</v>
      </c>
      <c r="G32" s="42">
        <f t="shared" si="3"/>
        <v>41.481299999999997</v>
      </c>
      <c r="H32" s="42">
        <f t="shared" si="4"/>
        <v>9365.6</v>
      </c>
      <c r="I32" s="42">
        <f t="shared" si="5"/>
        <v>41.992800000000003</v>
      </c>
      <c r="J32" s="42">
        <f t="shared" si="6"/>
        <v>9365.6</v>
      </c>
      <c r="K32" s="43">
        <f t="shared" si="7"/>
        <v>43.113</v>
      </c>
      <c r="L32" s="23">
        <v>11793.270399999999</v>
      </c>
      <c r="M32" s="23">
        <v>38.462200000000003</v>
      </c>
      <c r="N32" s="23">
        <v>41.041899999999998</v>
      </c>
      <c r="O32" s="23">
        <v>41.251600000000003</v>
      </c>
      <c r="P32" s="21">
        <v>10846.8</v>
      </c>
      <c r="Q32" s="21">
        <v>38.3947</v>
      </c>
      <c r="R32" s="21">
        <v>41.054900000000004</v>
      </c>
      <c r="S32" s="21">
        <v>41.481299999999997</v>
      </c>
      <c r="T32" s="21">
        <v>2.516</v>
      </c>
      <c r="U32" s="22"/>
      <c r="V32" s="23">
        <f t="shared" si="8"/>
        <v>6.9888888888888887E-4</v>
      </c>
      <c r="W32" s="27" t="str">
        <f t="shared" si="10"/>
        <v>!</v>
      </c>
      <c r="X32" s="21">
        <v>9365.6</v>
      </c>
      <c r="Y32" s="21">
        <v>39.609000000000002</v>
      </c>
      <c r="Z32" s="21">
        <v>41.992800000000003</v>
      </c>
      <c r="AA32" s="21">
        <v>43.113</v>
      </c>
      <c r="AB32" s="21">
        <v>93.516000000000005</v>
      </c>
      <c r="AC32" s="21"/>
      <c r="AD32" s="23">
        <f t="shared" si="9"/>
        <v>2.5976666666666669E-2</v>
      </c>
      <c r="AE32" s="28"/>
      <c r="AF32" s="28"/>
      <c r="AG32" s="28"/>
      <c r="AH32" s="25">
        <f t="shared" si="12"/>
        <v>37.168521462639113</v>
      </c>
      <c r="AI32" s="25"/>
    </row>
    <row r="33" spans="1:35" ht="12" thickBot="1">
      <c r="A33" s="26"/>
      <c r="B33" s="26"/>
      <c r="C33" s="26">
        <v>32</v>
      </c>
      <c r="D33" s="42">
        <f t="shared" si="0"/>
        <v>5816.4</v>
      </c>
      <c r="E33" s="42">
        <f t="shared" si="1"/>
        <v>38.9056</v>
      </c>
      <c r="F33" s="42">
        <f t="shared" si="2"/>
        <v>5816.4</v>
      </c>
      <c r="G33" s="42">
        <f t="shared" si="3"/>
        <v>39.217300000000002</v>
      </c>
      <c r="H33" s="42">
        <f t="shared" si="4"/>
        <v>4912.3999999999996</v>
      </c>
      <c r="I33" s="42">
        <f t="shared" si="5"/>
        <v>39.842199999999998</v>
      </c>
      <c r="J33" s="42">
        <f t="shared" si="6"/>
        <v>4912.3999999999996</v>
      </c>
      <c r="K33" s="43">
        <f t="shared" si="7"/>
        <v>40.678800000000003</v>
      </c>
      <c r="L33" s="23">
        <v>6284.8608000000004</v>
      </c>
      <c r="M33" s="23">
        <v>35.527200000000001</v>
      </c>
      <c r="N33" s="23">
        <v>38.550800000000002</v>
      </c>
      <c r="O33" s="23">
        <v>38.521900000000002</v>
      </c>
      <c r="P33" s="21">
        <v>5816.4</v>
      </c>
      <c r="Q33" s="21">
        <v>35.475499999999997</v>
      </c>
      <c r="R33" s="21">
        <v>38.9056</v>
      </c>
      <c r="S33" s="21">
        <v>39.217300000000002</v>
      </c>
      <c r="T33" s="21">
        <v>2.0619999999999998</v>
      </c>
      <c r="U33" s="22"/>
      <c r="V33" s="23">
        <f t="shared" si="8"/>
        <v>5.7277777777777774E-4</v>
      </c>
      <c r="W33" s="27" t="str">
        <f t="shared" si="10"/>
        <v>!</v>
      </c>
      <c r="X33" s="21">
        <v>4912.3999999999996</v>
      </c>
      <c r="Y33" s="21">
        <v>36.663499999999999</v>
      </c>
      <c r="Z33" s="21">
        <v>39.842199999999998</v>
      </c>
      <c r="AA33" s="21">
        <v>40.678800000000003</v>
      </c>
      <c r="AB33" s="21">
        <v>69.046999999999997</v>
      </c>
      <c r="AC33" s="21"/>
      <c r="AD33" s="23">
        <f t="shared" si="9"/>
        <v>1.9179722222222223E-2</v>
      </c>
      <c r="AE33" s="28"/>
      <c r="AF33" s="28"/>
      <c r="AG33" s="28"/>
      <c r="AH33" s="25">
        <f t="shared" si="12"/>
        <v>33.485451018428712</v>
      </c>
      <c r="AI33" s="25"/>
    </row>
    <row r="34" spans="1:35" ht="12" thickBot="1">
      <c r="A34" s="26"/>
      <c r="B34" s="29"/>
      <c r="C34" s="29">
        <v>37</v>
      </c>
      <c r="D34" s="44">
        <f t="shared" si="0"/>
        <v>3199.6</v>
      </c>
      <c r="E34" s="44">
        <f t="shared" si="1"/>
        <v>37.192900000000002</v>
      </c>
      <c r="F34" s="44">
        <f t="shared" si="2"/>
        <v>3199.6</v>
      </c>
      <c r="G34" s="44">
        <f t="shared" si="3"/>
        <v>37.491300000000003</v>
      </c>
      <c r="H34" s="44">
        <f t="shared" si="4"/>
        <v>2715.2</v>
      </c>
      <c r="I34" s="44">
        <f t="shared" si="5"/>
        <v>38.379100000000001</v>
      </c>
      <c r="J34" s="44">
        <f t="shared" si="6"/>
        <v>2715.2</v>
      </c>
      <c r="K34" s="45">
        <f t="shared" si="7"/>
        <v>38.779400000000003</v>
      </c>
      <c r="L34" s="32">
        <v>3375.4351999999999</v>
      </c>
      <c r="M34" s="32">
        <v>32.893099999999997</v>
      </c>
      <c r="N34" s="32">
        <v>36.227400000000003</v>
      </c>
      <c r="O34" s="32">
        <v>35.955500000000001</v>
      </c>
      <c r="P34" s="33">
        <v>3199.6</v>
      </c>
      <c r="Q34" s="33">
        <v>32.865499999999997</v>
      </c>
      <c r="R34" s="33">
        <v>37.192900000000002</v>
      </c>
      <c r="S34" s="33">
        <v>37.491300000000003</v>
      </c>
      <c r="T34" s="33">
        <v>1.859</v>
      </c>
      <c r="U34" s="34"/>
      <c r="V34" s="32">
        <f t="shared" si="8"/>
        <v>5.1638888888888893E-4</v>
      </c>
      <c r="W34" s="37" t="str">
        <f t="shared" si="10"/>
        <v>!</v>
      </c>
      <c r="X34" s="33">
        <v>2715.2</v>
      </c>
      <c r="Y34" s="33">
        <v>34.0792</v>
      </c>
      <c r="Z34" s="33">
        <v>38.379100000000001</v>
      </c>
      <c r="AA34" s="33">
        <v>38.779400000000003</v>
      </c>
      <c r="AB34" s="33">
        <v>41.094000000000001</v>
      </c>
      <c r="AC34" s="33">
        <v>41.094000000000001</v>
      </c>
      <c r="AD34" s="32">
        <f t="shared" si="9"/>
        <v>1.1415E-2</v>
      </c>
      <c r="AE34" s="29"/>
      <c r="AF34" s="29"/>
      <c r="AG34" s="29"/>
      <c r="AH34" s="25">
        <f t="shared" si="12"/>
        <v>22.105433028509953</v>
      </c>
      <c r="AI34" s="25"/>
    </row>
    <row r="35" spans="1:35" ht="12" thickBot="1">
      <c r="A35" s="26"/>
      <c r="B35" s="17" t="s">
        <v>37</v>
      </c>
      <c r="C35" s="17">
        <v>22</v>
      </c>
      <c r="D35" s="40">
        <f t="shared" si="0"/>
        <v>28810.080000000002</v>
      </c>
      <c r="E35" s="40">
        <f t="shared" si="1"/>
        <v>43.448799999999999</v>
      </c>
      <c r="F35" s="40">
        <f t="shared" si="2"/>
        <v>28810.080000000002</v>
      </c>
      <c r="G35" s="40">
        <f t="shared" si="3"/>
        <v>44.787599999999998</v>
      </c>
      <c r="H35" s="40">
        <f t="shared" si="4"/>
        <v>26565.119999999999</v>
      </c>
      <c r="I35" s="40">
        <f t="shared" si="5"/>
        <v>44.047400000000003</v>
      </c>
      <c r="J35" s="40">
        <f t="shared" si="6"/>
        <v>26565.119999999999</v>
      </c>
      <c r="K35" s="41">
        <f t="shared" si="7"/>
        <v>45.588999999999999</v>
      </c>
      <c r="L35" s="20">
        <v>24353.02</v>
      </c>
      <c r="M35" s="20">
        <v>42.011499999999998</v>
      </c>
      <c r="N35" s="20">
        <v>44.019100000000002</v>
      </c>
      <c r="O35" s="20">
        <v>45.359699999999997</v>
      </c>
      <c r="P35" s="36">
        <v>28810.080000000002</v>
      </c>
      <c r="Q35" s="36">
        <v>41.688699999999997</v>
      </c>
      <c r="R35" s="36">
        <v>43.448799999999999</v>
      </c>
      <c r="S35" s="36">
        <v>44.787599999999998</v>
      </c>
      <c r="T35" s="36">
        <v>2.9689999999999999</v>
      </c>
      <c r="U35" s="22"/>
      <c r="V35" s="20">
        <f t="shared" si="8"/>
        <v>8.2472222222222213E-4</v>
      </c>
      <c r="W35" s="24" t="str">
        <f>IF(OR(AND(P35="",Q35="",R35="",S35=""),AND(L35=P35,M35=Q35,N35=R35,O35=S35)),"","!")</f>
        <v>!</v>
      </c>
      <c r="X35" s="36">
        <v>26565.119999999999</v>
      </c>
      <c r="Y35" s="36">
        <v>42.341700000000003</v>
      </c>
      <c r="Z35" s="36">
        <v>44.047400000000003</v>
      </c>
      <c r="AA35" s="36">
        <v>45.588999999999999</v>
      </c>
      <c r="AB35" s="36">
        <v>147.06200000000001</v>
      </c>
      <c r="AC35" s="36"/>
      <c r="AD35" s="20">
        <f t="shared" si="9"/>
        <v>4.0850555555555557E-2</v>
      </c>
      <c r="AE35" s="25">
        <f>RBJM($P35:$Q38,X35:Y38)</f>
        <v>-20.62682587274891</v>
      </c>
      <c r="AF35" s="25">
        <f>RBJM($D35:$E38,H35:I38)</f>
        <v>-19.450460275589965</v>
      </c>
      <c r="AG35" s="25">
        <f>RBJM($F35:$G38,J35:K38)</f>
        <v>-19.88926303415036</v>
      </c>
      <c r="AH35" s="25">
        <f t="shared" si="12"/>
        <v>49.532502526103073</v>
      </c>
      <c r="AI35" s="25"/>
    </row>
    <row r="36" spans="1:35" ht="12" thickBot="1">
      <c r="A36" s="26"/>
      <c r="B36" s="26" t="s">
        <v>38</v>
      </c>
      <c r="C36" s="26">
        <v>27</v>
      </c>
      <c r="D36" s="42">
        <f t="shared" si="0"/>
        <v>17832.48</v>
      </c>
      <c r="E36" s="42">
        <f t="shared" si="1"/>
        <v>40.999299999999998</v>
      </c>
      <c r="F36" s="42">
        <f t="shared" si="2"/>
        <v>17832.48</v>
      </c>
      <c r="G36" s="42">
        <f t="shared" si="3"/>
        <v>41.992100000000001</v>
      </c>
      <c r="H36" s="42">
        <f t="shared" si="4"/>
        <v>16368.48</v>
      </c>
      <c r="I36" s="42">
        <f t="shared" si="5"/>
        <v>41.569499999999998</v>
      </c>
      <c r="J36" s="42">
        <f t="shared" si="6"/>
        <v>16368.48</v>
      </c>
      <c r="K36" s="43">
        <f t="shared" si="7"/>
        <v>42.733600000000003</v>
      </c>
      <c r="L36" s="23">
        <v>14539.099200000001</v>
      </c>
      <c r="M36" s="23">
        <v>39.055500000000002</v>
      </c>
      <c r="N36" s="23">
        <v>41.711399999999998</v>
      </c>
      <c r="O36" s="23">
        <v>42.8628</v>
      </c>
      <c r="P36" s="21">
        <v>17832.48</v>
      </c>
      <c r="Q36" s="21">
        <v>38.5657</v>
      </c>
      <c r="R36" s="21">
        <v>40.999299999999998</v>
      </c>
      <c r="S36" s="21">
        <v>41.992100000000001</v>
      </c>
      <c r="T36" s="21">
        <v>2.5619999999999998</v>
      </c>
      <c r="U36" s="22"/>
      <c r="V36" s="23">
        <f t="shared" si="8"/>
        <v>7.1166666666666665E-4</v>
      </c>
      <c r="W36" s="27" t="str">
        <f t="shared" si="10"/>
        <v>!</v>
      </c>
      <c r="X36" s="21">
        <v>16368.48</v>
      </c>
      <c r="Y36" s="21">
        <v>39.396299999999997</v>
      </c>
      <c r="Z36" s="21">
        <v>41.569499999999998</v>
      </c>
      <c r="AA36" s="21">
        <v>42.733600000000003</v>
      </c>
      <c r="AB36" s="21">
        <v>106.10899999999999</v>
      </c>
      <c r="AC36" s="21"/>
      <c r="AD36" s="23">
        <f t="shared" si="9"/>
        <v>2.9474722222222222E-2</v>
      </c>
      <c r="AE36" s="28"/>
      <c r="AF36" s="28"/>
      <c r="AG36" s="28"/>
      <c r="AH36" s="25">
        <f t="shared" si="12"/>
        <v>41.416471506635439</v>
      </c>
      <c r="AI36" s="25"/>
    </row>
    <row r="37" spans="1:35" ht="12" thickBot="1">
      <c r="A37" s="26"/>
      <c r="B37" s="26"/>
      <c r="C37" s="26">
        <v>32</v>
      </c>
      <c r="D37" s="42">
        <f t="shared" si="0"/>
        <v>10687.68</v>
      </c>
      <c r="E37" s="42">
        <f t="shared" si="1"/>
        <v>39.152900000000002</v>
      </c>
      <c r="F37" s="42">
        <f t="shared" si="2"/>
        <v>10687.68</v>
      </c>
      <c r="G37" s="42">
        <f t="shared" si="3"/>
        <v>39.891300000000001</v>
      </c>
      <c r="H37" s="42">
        <f t="shared" si="4"/>
        <v>9803.0400000000009</v>
      </c>
      <c r="I37" s="42">
        <f t="shared" si="5"/>
        <v>39.537100000000002</v>
      </c>
      <c r="J37" s="42">
        <f t="shared" si="6"/>
        <v>9803.0400000000009</v>
      </c>
      <c r="K37" s="43">
        <f t="shared" si="7"/>
        <v>40.313600000000001</v>
      </c>
      <c r="L37" s="23">
        <v>8524.9287999999997</v>
      </c>
      <c r="M37" s="23">
        <v>36.032299999999999</v>
      </c>
      <c r="N37" s="23">
        <v>39.697499999999998</v>
      </c>
      <c r="O37" s="23">
        <v>40.692399999999999</v>
      </c>
      <c r="P37" s="21">
        <v>10687.68</v>
      </c>
      <c r="Q37" s="21">
        <v>35.159599999999998</v>
      </c>
      <c r="R37" s="21">
        <v>39.152900000000002</v>
      </c>
      <c r="S37" s="21">
        <v>39.891300000000001</v>
      </c>
      <c r="T37" s="21">
        <v>2.234</v>
      </c>
      <c r="U37" s="22"/>
      <c r="V37" s="23">
        <f t="shared" si="8"/>
        <v>6.2055555555555551E-4</v>
      </c>
      <c r="W37" s="27" t="str">
        <f t="shared" si="10"/>
        <v>!</v>
      </c>
      <c r="X37" s="21">
        <v>9803.0400000000009</v>
      </c>
      <c r="Y37" s="21">
        <v>36.1691</v>
      </c>
      <c r="Z37" s="21">
        <v>39.537100000000002</v>
      </c>
      <c r="AA37" s="21">
        <v>40.313600000000001</v>
      </c>
      <c r="AB37" s="21">
        <v>81.875</v>
      </c>
      <c r="AC37" s="21"/>
      <c r="AD37" s="23">
        <f t="shared" si="9"/>
        <v>2.2743055555555555E-2</v>
      </c>
      <c r="AE37" s="28"/>
      <c r="AF37" s="28"/>
      <c r="AG37" s="28"/>
      <c r="AH37" s="25">
        <f t="shared" si="12"/>
        <v>36.649507609668753</v>
      </c>
      <c r="AI37" s="25"/>
    </row>
    <row r="38" spans="1:35" ht="12" thickBot="1">
      <c r="A38" s="26"/>
      <c r="B38" s="29"/>
      <c r="C38" s="29">
        <v>37</v>
      </c>
      <c r="D38" s="44">
        <f t="shared" si="0"/>
        <v>5998.56</v>
      </c>
      <c r="E38" s="44">
        <f t="shared" si="1"/>
        <v>37.661099999999998</v>
      </c>
      <c r="F38" s="44">
        <f t="shared" si="2"/>
        <v>5998.56</v>
      </c>
      <c r="G38" s="44">
        <f t="shared" si="3"/>
        <v>38.3431</v>
      </c>
      <c r="H38" s="44">
        <f t="shared" si="4"/>
        <v>5568</v>
      </c>
      <c r="I38" s="44">
        <f t="shared" si="5"/>
        <v>38.128799999999998</v>
      </c>
      <c r="J38" s="44">
        <f t="shared" si="6"/>
        <v>5568</v>
      </c>
      <c r="K38" s="45">
        <f t="shared" si="7"/>
        <v>38.755899999999997</v>
      </c>
      <c r="L38" s="32">
        <v>4795.9848000000002</v>
      </c>
      <c r="M38" s="32">
        <v>32.9818</v>
      </c>
      <c r="N38" s="32">
        <v>37.753500000000003</v>
      </c>
      <c r="O38" s="32">
        <v>38.603900000000003</v>
      </c>
      <c r="P38" s="33">
        <v>5998.56</v>
      </c>
      <c r="Q38" s="33">
        <v>31.728999999999999</v>
      </c>
      <c r="R38" s="33">
        <v>37.661099999999998</v>
      </c>
      <c r="S38" s="33">
        <v>38.3431</v>
      </c>
      <c r="T38" s="33">
        <v>2.0939999999999999</v>
      </c>
      <c r="U38" s="34"/>
      <c r="V38" s="32">
        <f t="shared" si="8"/>
        <v>5.8166666666666664E-4</v>
      </c>
      <c r="W38" s="37" t="str">
        <f t="shared" si="10"/>
        <v>!</v>
      </c>
      <c r="X38" s="33">
        <v>5568</v>
      </c>
      <c r="Y38" s="33">
        <v>32.845999999999997</v>
      </c>
      <c r="Z38" s="33">
        <v>38.128799999999998</v>
      </c>
      <c r="AA38" s="33">
        <v>38.755899999999997</v>
      </c>
      <c r="AB38" s="33">
        <v>58.859000000000002</v>
      </c>
      <c r="AC38" s="33"/>
      <c r="AD38" s="32">
        <f t="shared" si="9"/>
        <v>1.6349722222222224E-2</v>
      </c>
      <c r="AE38" s="29"/>
      <c r="AF38" s="29"/>
      <c r="AG38" s="29"/>
      <c r="AH38" s="25">
        <f t="shared" si="12"/>
        <v>28.108404966571158</v>
      </c>
      <c r="AI38" s="25"/>
    </row>
    <row r="39" spans="1:35" ht="12" thickBot="1">
      <c r="A39" s="26"/>
      <c r="B39" s="17" t="s">
        <v>39</v>
      </c>
      <c r="C39" s="17">
        <v>22</v>
      </c>
      <c r="D39" s="40">
        <f t="shared" si="0"/>
        <v>50999.199999999997</v>
      </c>
      <c r="E39" s="40">
        <f t="shared" si="1"/>
        <v>41.963999999999999</v>
      </c>
      <c r="F39" s="40">
        <f t="shared" si="2"/>
        <v>50999.199999999997</v>
      </c>
      <c r="G39" s="40">
        <f t="shared" si="3"/>
        <v>42.515700000000002</v>
      </c>
      <c r="H39" s="40">
        <f t="shared" si="4"/>
        <v>0</v>
      </c>
      <c r="I39" s="40">
        <f t="shared" si="5"/>
        <v>0</v>
      </c>
      <c r="J39" s="40">
        <f t="shared" si="6"/>
        <v>0</v>
      </c>
      <c r="K39" s="41">
        <f t="shared" si="7"/>
        <v>0</v>
      </c>
      <c r="L39" s="20">
        <v>45707.029600000002</v>
      </c>
      <c r="M39" s="20">
        <v>41.210299999999997</v>
      </c>
      <c r="N39" s="20">
        <v>42.479900000000001</v>
      </c>
      <c r="O39" s="20">
        <v>43.316099999999999</v>
      </c>
      <c r="P39" s="36">
        <v>50999.199999999997</v>
      </c>
      <c r="Q39" s="36">
        <v>41.085500000000003</v>
      </c>
      <c r="R39" s="36">
        <v>41.963999999999999</v>
      </c>
      <c r="S39" s="36">
        <v>42.515700000000002</v>
      </c>
      <c r="T39" s="36">
        <v>3.5470000000000002</v>
      </c>
      <c r="U39" s="22"/>
      <c r="V39" s="20">
        <f t="shared" si="8"/>
        <v>9.8527777777777784E-4</v>
      </c>
      <c r="W39" s="24" t="str">
        <f>IF(OR(AND(P39="",Q39="",R39="",S39=""),AND(L39=P39,M39=Q39,N39=R39,O39=S39)),"","!")</f>
        <v>!</v>
      </c>
      <c r="X39" s="36"/>
      <c r="Y39" s="36"/>
      <c r="Z39" s="36"/>
      <c r="AA39" s="36"/>
      <c r="AB39" s="36"/>
      <c r="AC39" s="36"/>
      <c r="AD39" s="20">
        <f t="shared" si="9"/>
        <v>0</v>
      </c>
      <c r="AE39" s="25" t="e">
        <f>RBJM($P39:$Q42,X39:Y42)</f>
        <v>#VALUE!</v>
      </c>
      <c r="AF39" s="25" t="e">
        <f>RBJM($D39:$E42,H39:I42)</f>
        <v>#VALUE!</v>
      </c>
      <c r="AG39" s="25" t="e">
        <f>RBJM($F39:$G42,J39:K42)</f>
        <v>#VALUE!</v>
      </c>
      <c r="AH39" s="25">
        <f t="shared" si="12"/>
        <v>0</v>
      </c>
      <c r="AI39" s="25"/>
    </row>
    <row r="40" spans="1:35" ht="12" thickBot="1">
      <c r="A40" s="26"/>
      <c r="B40" s="26" t="s">
        <v>40</v>
      </c>
      <c r="C40" s="26">
        <v>27</v>
      </c>
      <c r="D40" s="42">
        <f t="shared" si="0"/>
        <v>32368.400000000001</v>
      </c>
      <c r="E40" s="42">
        <f t="shared" si="1"/>
        <v>38.608400000000003</v>
      </c>
      <c r="F40" s="42">
        <f t="shared" si="2"/>
        <v>32368.400000000001</v>
      </c>
      <c r="G40" s="42">
        <f t="shared" si="3"/>
        <v>39.046100000000003</v>
      </c>
      <c r="H40" s="42">
        <f t="shared" si="4"/>
        <v>0</v>
      </c>
      <c r="I40" s="42">
        <f t="shared" si="5"/>
        <v>0</v>
      </c>
      <c r="J40" s="42">
        <f t="shared" si="6"/>
        <v>0</v>
      </c>
      <c r="K40" s="43">
        <f t="shared" si="7"/>
        <v>0</v>
      </c>
      <c r="L40" s="23">
        <v>28195.8976</v>
      </c>
      <c r="M40" s="23">
        <v>36.911200000000001</v>
      </c>
      <c r="N40" s="23">
        <v>39.229399999999998</v>
      </c>
      <c r="O40" s="23">
        <v>40.011699999999998</v>
      </c>
      <c r="P40" s="21">
        <v>32368.400000000001</v>
      </c>
      <c r="Q40" s="21">
        <v>36.6081</v>
      </c>
      <c r="R40" s="21">
        <v>38.608400000000003</v>
      </c>
      <c r="S40" s="21">
        <v>39.046100000000003</v>
      </c>
      <c r="T40" s="21">
        <v>3.1880000000000002</v>
      </c>
      <c r="U40" s="22"/>
      <c r="V40" s="23">
        <f t="shared" si="8"/>
        <v>8.8555555555555555E-4</v>
      </c>
      <c r="W40" s="27" t="str">
        <f t="shared" si="10"/>
        <v>!</v>
      </c>
      <c r="X40" s="21"/>
      <c r="Y40" s="21"/>
      <c r="Z40" s="21"/>
      <c r="AA40" s="21"/>
      <c r="AB40" s="21"/>
      <c r="AC40" s="21"/>
      <c r="AD40" s="23">
        <f t="shared" si="9"/>
        <v>0</v>
      </c>
      <c r="AE40" s="28"/>
      <c r="AF40" s="28"/>
      <c r="AG40" s="28"/>
      <c r="AH40" s="25">
        <f t="shared" si="12"/>
        <v>0</v>
      </c>
      <c r="AI40" s="25"/>
    </row>
    <row r="41" spans="1:35" ht="12" thickBot="1">
      <c r="A41" s="26"/>
      <c r="B41" s="26"/>
      <c r="C41" s="26">
        <v>32</v>
      </c>
      <c r="D41" s="42">
        <f t="shared" si="0"/>
        <v>19538</v>
      </c>
      <c r="E41" s="42">
        <f t="shared" si="1"/>
        <v>36.290700000000001</v>
      </c>
      <c r="F41" s="42">
        <f t="shared" si="2"/>
        <v>19538</v>
      </c>
      <c r="G41" s="42">
        <f t="shared" si="3"/>
        <v>36.656599999999997</v>
      </c>
      <c r="H41" s="42">
        <f t="shared" si="4"/>
        <v>0</v>
      </c>
      <c r="I41" s="42">
        <f t="shared" si="5"/>
        <v>0</v>
      </c>
      <c r="J41" s="42">
        <f t="shared" si="6"/>
        <v>0</v>
      </c>
      <c r="K41" s="43">
        <f t="shared" si="7"/>
        <v>0</v>
      </c>
      <c r="L41" s="23">
        <v>16773.642400000001</v>
      </c>
      <c r="M41" s="23">
        <v>33.149000000000001</v>
      </c>
      <c r="N41" s="23">
        <v>36.830399999999997</v>
      </c>
      <c r="O41" s="23">
        <v>37.551200000000001</v>
      </c>
      <c r="P41" s="21">
        <v>19538</v>
      </c>
      <c r="Q41" s="21">
        <v>32.566000000000003</v>
      </c>
      <c r="R41" s="21">
        <v>36.290700000000001</v>
      </c>
      <c r="S41" s="21">
        <v>36.656599999999997</v>
      </c>
      <c r="T41" s="21">
        <v>2.8279999999999998</v>
      </c>
      <c r="U41" s="22"/>
      <c r="V41" s="23">
        <f t="shared" si="8"/>
        <v>7.8555555555555551E-4</v>
      </c>
      <c r="W41" s="27" t="str">
        <f t="shared" si="10"/>
        <v>!</v>
      </c>
      <c r="X41" s="21"/>
      <c r="Y41" s="21"/>
      <c r="Z41" s="21"/>
      <c r="AA41" s="21"/>
      <c r="AB41" s="21"/>
      <c r="AC41" s="21"/>
      <c r="AD41" s="23">
        <f t="shared" si="9"/>
        <v>0</v>
      </c>
      <c r="AE41" s="28"/>
      <c r="AF41" s="28"/>
      <c r="AG41" s="28"/>
      <c r="AH41" s="25">
        <f t="shared" si="12"/>
        <v>0</v>
      </c>
      <c r="AI41" s="25"/>
    </row>
    <row r="42" spans="1:35" ht="12" thickBot="1">
      <c r="A42" s="26"/>
      <c r="B42" s="29"/>
      <c r="C42" s="29">
        <v>37</v>
      </c>
      <c r="D42" s="44">
        <f t="shared" si="0"/>
        <v>10816.8</v>
      </c>
      <c r="E42" s="44">
        <f t="shared" si="1"/>
        <v>34.7958</v>
      </c>
      <c r="F42" s="44">
        <f t="shared" si="2"/>
        <v>10816.8</v>
      </c>
      <c r="G42" s="44">
        <f t="shared" si="3"/>
        <v>35.075299999999999</v>
      </c>
      <c r="H42" s="44">
        <f t="shared" si="4"/>
        <v>0</v>
      </c>
      <c r="I42" s="44">
        <f t="shared" si="5"/>
        <v>0</v>
      </c>
      <c r="J42" s="44">
        <f t="shared" si="6"/>
        <v>0</v>
      </c>
      <c r="K42" s="45">
        <f t="shared" si="7"/>
        <v>0</v>
      </c>
      <c r="L42" s="32">
        <v>8924.348</v>
      </c>
      <c r="M42" s="32">
        <v>29.427399999999999</v>
      </c>
      <c r="N42" s="32">
        <v>34.7866</v>
      </c>
      <c r="O42" s="32">
        <v>35.4544</v>
      </c>
      <c r="P42" s="33">
        <v>10816.8</v>
      </c>
      <c r="Q42" s="33">
        <v>28.769200000000001</v>
      </c>
      <c r="R42" s="33">
        <v>34.7958</v>
      </c>
      <c r="S42" s="33">
        <v>35.075299999999999</v>
      </c>
      <c r="T42" s="33">
        <v>2.359</v>
      </c>
      <c r="U42" s="34"/>
      <c r="V42" s="32">
        <f t="shared" si="8"/>
        <v>6.5527777777777774E-4</v>
      </c>
      <c r="W42" s="37" t="str">
        <f t="shared" si="10"/>
        <v>!</v>
      </c>
      <c r="X42" s="33"/>
      <c r="Y42" s="33"/>
      <c r="Z42" s="33"/>
      <c r="AA42" s="33"/>
      <c r="AB42" s="33"/>
      <c r="AC42" s="33"/>
      <c r="AD42" s="32">
        <f t="shared" si="9"/>
        <v>0</v>
      </c>
      <c r="AE42" s="29"/>
      <c r="AF42" s="29"/>
      <c r="AG42" s="29"/>
      <c r="AH42" s="25">
        <f t="shared" si="12"/>
        <v>0</v>
      </c>
      <c r="AI42" s="25"/>
    </row>
    <row r="43" spans="1:35" ht="12" thickBot="1">
      <c r="A43" s="26"/>
      <c r="B43" s="17" t="s">
        <v>41</v>
      </c>
      <c r="C43" s="17">
        <v>22</v>
      </c>
      <c r="D43" s="40">
        <f t="shared" si="0"/>
        <v>17538.240000000002</v>
      </c>
      <c r="E43" s="40">
        <f t="shared" si="1"/>
        <v>43.2502</v>
      </c>
      <c r="F43" s="40">
        <f t="shared" si="2"/>
        <v>17538.240000000002</v>
      </c>
      <c r="G43" s="40">
        <f t="shared" si="3"/>
        <v>43.879600000000003</v>
      </c>
      <c r="H43" s="40">
        <f t="shared" si="4"/>
        <v>0</v>
      </c>
      <c r="I43" s="40">
        <f t="shared" si="5"/>
        <v>0</v>
      </c>
      <c r="J43" s="40">
        <f t="shared" si="6"/>
        <v>0</v>
      </c>
      <c r="K43" s="41">
        <f t="shared" si="7"/>
        <v>0</v>
      </c>
      <c r="L43" s="20">
        <v>15480.86</v>
      </c>
      <c r="M43" s="20">
        <v>42.440300000000001</v>
      </c>
      <c r="N43" s="20">
        <v>43.707099999999997</v>
      </c>
      <c r="O43" s="20">
        <v>44.45</v>
      </c>
      <c r="P43" s="36">
        <v>17538.240000000002</v>
      </c>
      <c r="Q43" s="36">
        <v>42.141500000000001</v>
      </c>
      <c r="R43" s="36">
        <v>43.2502</v>
      </c>
      <c r="S43" s="36">
        <v>43.879600000000003</v>
      </c>
      <c r="T43" s="36">
        <v>2.9689999999999999</v>
      </c>
      <c r="U43" s="22"/>
      <c r="V43" s="20">
        <f t="shared" si="8"/>
        <v>8.2472222222222213E-4</v>
      </c>
      <c r="W43" s="24" t="str">
        <f>IF(OR(AND(P43="",Q43="",R43="",S43=""),AND(L43=P43,M43=Q43,N43=R43,O43=S43)),"","!")</f>
        <v>!</v>
      </c>
      <c r="X43" s="36"/>
      <c r="Y43" s="36"/>
      <c r="Z43" s="36"/>
      <c r="AA43" s="36"/>
      <c r="AB43" s="36"/>
      <c r="AC43" s="36"/>
      <c r="AD43" s="20">
        <f t="shared" si="9"/>
        <v>0</v>
      </c>
      <c r="AE43" s="25" t="e">
        <f>RBJM($P43:$Q46,X43:Y46)</f>
        <v>#VALUE!</v>
      </c>
      <c r="AF43" s="25" t="e">
        <f>RBJM($D43:$E46,H43:I46)</f>
        <v>#VALUE!</v>
      </c>
      <c r="AG43" s="25" t="e">
        <f>RBJM($F43:$G46,J43:K46)</f>
        <v>#VALUE!</v>
      </c>
      <c r="AH43" s="25">
        <f t="shared" si="12"/>
        <v>0</v>
      </c>
      <c r="AI43" s="25"/>
    </row>
    <row r="44" spans="1:35" ht="12" thickBot="1">
      <c r="A44" s="26"/>
      <c r="B44" s="26" t="s">
        <v>42</v>
      </c>
      <c r="C44" s="26">
        <v>27</v>
      </c>
      <c r="D44" s="42">
        <f t="shared" si="0"/>
        <v>10772.64</v>
      </c>
      <c r="E44" s="42">
        <f t="shared" si="1"/>
        <v>39.9619</v>
      </c>
      <c r="F44" s="42">
        <f t="shared" si="2"/>
        <v>10772.64</v>
      </c>
      <c r="G44" s="42">
        <f t="shared" si="3"/>
        <v>41.019199999999998</v>
      </c>
      <c r="H44" s="42">
        <f t="shared" si="4"/>
        <v>0</v>
      </c>
      <c r="I44" s="42">
        <f t="shared" si="5"/>
        <v>0</v>
      </c>
      <c r="J44" s="42">
        <f t="shared" si="6"/>
        <v>0</v>
      </c>
      <c r="K44" s="43">
        <f t="shared" si="7"/>
        <v>0</v>
      </c>
      <c r="L44" s="23">
        <v>9358.1551999999992</v>
      </c>
      <c r="M44" s="23">
        <v>39.042499999999997</v>
      </c>
      <c r="N44" s="23">
        <v>40.424399999999999</v>
      </c>
      <c r="O44" s="23">
        <v>41.762599999999999</v>
      </c>
      <c r="P44" s="21">
        <v>10772.64</v>
      </c>
      <c r="Q44" s="21">
        <v>38.427700000000002</v>
      </c>
      <c r="R44" s="21">
        <v>39.9619</v>
      </c>
      <c r="S44" s="21">
        <v>41.019199999999998</v>
      </c>
      <c r="T44" s="21">
        <v>2.516</v>
      </c>
      <c r="U44" s="22"/>
      <c r="V44" s="23">
        <f t="shared" si="8"/>
        <v>6.9888888888888887E-4</v>
      </c>
      <c r="W44" s="27" t="str">
        <f t="shared" si="10"/>
        <v>!</v>
      </c>
      <c r="X44" s="21"/>
      <c r="Y44" s="21"/>
      <c r="Z44" s="21"/>
      <c r="AA44" s="21"/>
      <c r="AB44" s="21"/>
      <c r="AC44" s="21"/>
      <c r="AD44" s="23">
        <f t="shared" si="9"/>
        <v>0</v>
      </c>
      <c r="AE44" s="28"/>
      <c r="AF44" s="28"/>
      <c r="AG44" s="28"/>
      <c r="AH44" s="25">
        <f t="shared" si="12"/>
        <v>0</v>
      </c>
      <c r="AI44" s="25"/>
    </row>
    <row r="45" spans="1:35" ht="12" thickBot="1">
      <c r="A45" s="26"/>
      <c r="B45" s="26"/>
      <c r="C45" s="26">
        <v>32</v>
      </c>
      <c r="D45" s="42">
        <f t="shared" si="0"/>
        <v>6212.16</v>
      </c>
      <c r="E45" s="42">
        <f t="shared" si="1"/>
        <v>37.569000000000003</v>
      </c>
      <c r="F45" s="42">
        <f t="shared" si="2"/>
        <v>6212.16</v>
      </c>
      <c r="G45" s="42">
        <f t="shared" si="3"/>
        <v>38.949100000000001</v>
      </c>
      <c r="H45" s="42">
        <f t="shared" si="4"/>
        <v>0</v>
      </c>
      <c r="I45" s="42">
        <f t="shared" si="5"/>
        <v>0</v>
      </c>
      <c r="J45" s="42">
        <f t="shared" si="6"/>
        <v>0</v>
      </c>
      <c r="K45" s="43">
        <f t="shared" si="7"/>
        <v>0</v>
      </c>
      <c r="L45" s="23">
        <v>5376.7592000000004</v>
      </c>
      <c r="M45" s="23">
        <v>35.700299999999999</v>
      </c>
      <c r="N45" s="23">
        <v>37.834600000000002</v>
      </c>
      <c r="O45" s="23">
        <v>39.664900000000003</v>
      </c>
      <c r="P45" s="21">
        <v>6212.16</v>
      </c>
      <c r="Q45" s="21">
        <v>34.6813</v>
      </c>
      <c r="R45" s="21">
        <v>37.569000000000003</v>
      </c>
      <c r="S45" s="21">
        <v>38.949100000000001</v>
      </c>
      <c r="T45" s="21">
        <v>2.391</v>
      </c>
      <c r="U45" s="22"/>
      <c r="V45" s="23">
        <f t="shared" si="8"/>
        <v>6.6416666666666664E-4</v>
      </c>
      <c r="W45" s="27" t="str">
        <f t="shared" si="10"/>
        <v>!</v>
      </c>
      <c r="X45" s="21"/>
      <c r="Y45" s="21"/>
      <c r="Z45" s="21"/>
      <c r="AA45" s="21"/>
      <c r="AB45" s="21"/>
      <c r="AC45" s="21"/>
      <c r="AD45" s="23">
        <f t="shared" si="9"/>
        <v>0</v>
      </c>
      <c r="AE45" s="28"/>
      <c r="AF45" s="28"/>
      <c r="AG45" s="28"/>
      <c r="AH45" s="25">
        <f t="shared" si="12"/>
        <v>0</v>
      </c>
      <c r="AI45" s="25"/>
    </row>
    <row r="46" spans="1:35" ht="12" thickBot="1">
      <c r="A46" s="29"/>
      <c r="B46" s="29"/>
      <c r="C46" s="29">
        <v>37</v>
      </c>
      <c r="D46" s="44">
        <f t="shared" si="0"/>
        <v>3217.92</v>
      </c>
      <c r="E46" s="44">
        <f t="shared" si="1"/>
        <v>36.150199999999998</v>
      </c>
      <c r="F46" s="44">
        <f t="shared" si="2"/>
        <v>3217.92</v>
      </c>
      <c r="G46" s="44">
        <f t="shared" si="3"/>
        <v>37.334299999999999</v>
      </c>
      <c r="H46" s="44">
        <f t="shared" si="4"/>
        <v>0</v>
      </c>
      <c r="I46" s="44">
        <f t="shared" si="5"/>
        <v>0</v>
      </c>
      <c r="J46" s="44">
        <f t="shared" si="6"/>
        <v>0</v>
      </c>
      <c r="K46" s="45">
        <f t="shared" si="7"/>
        <v>0</v>
      </c>
      <c r="L46" s="32">
        <v>2698.1448</v>
      </c>
      <c r="M46" s="32">
        <v>32.2851</v>
      </c>
      <c r="N46" s="32">
        <v>35.7866</v>
      </c>
      <c r="O46" s="32">
        <v>37.564100000000003</v>
      </c>
      <c r="P46" s="33">
        <v>3217.92</v>
      </c>
      <c r="Q46" s="33">
        <v>31.0884</v>
      </c>
      <c r="R46" s="33">
        <v>36.150199999999998</v>
      </c>
      <c r="S46" s="33">
        <v>37.334299999999999</v>
      </c>
      <c r="T46" s="33">
        <v>2.109</v>
      </c>
      <c r="U46" s="34"/>
      <c r="V46" s="32">
        <f t="shared" si="8"/>
        <v>5.8583333333333328E-4</v>
      </c>
      <c r="W46" s="37" t="str">
        <f t="shared" si="10"/>
        <v>!</v>
      </c>
      <c r="X46" s="33"/>
      <c r="Y46" s="33"/>
      <c r="Z46" s="33"/>
      <c r="AA46" s="33"/>
      <c r="AB46" s="33"/>
      <c r="AC46" s="33"/>
      <c r="AD46" s="32">
        <f t="shared" si="9"/>
        <v>0</v>
      </c>
      <c r="AE46" s="29"/>
      <c r="AF46" s="29"/>
      <c r="AG46" s="29"/>
      <c r="AH46" s="25">
        <f t="shared" si="12"/>
        <v>0</v>
      </c>
      <c r="AI46" s="25"/>
    </row>
    <row r="47" spans="1:35" ht="12" thickBot="1">
      <c r="A47" s="17" t="s">
        <v>43</v>
      </c>
      <c r="B47" s="17" t="s">
        <v>44</v>
      </c>
      <c r="C47" s="17">
        <v>22</v>
      </c>
      <c r="D47" s="40">
        <f t="shared" si="0"/>
        <v>0</v>
      </c>
      <c r="E47" s="40">
        <f t="shared" si="1"/>
        <v>0</v>
      </c>
      <c r="F47" s="40">
        <f t="shared" si="2"/>
        <v>0</v>
      </c>
      <c r="G47" s="40">
        <f t="shared" si="3"/>
        <v>0</v>
      </c>
      <c r="H47" s="40">
        <f t="shared" si="4"/>
        <v>0</v>
      </c>
      <c r="I47" s="40">
        <f t="shared" si="5"/>
        <v>0</v>
      </c>
      <c r="J47" s="40">
        <f t="shared" si="6"/>
        <v>0</v>
      </c>
      <c r="K47" s="41">
        <f t="shared" si="7"/>
        <v>0</v>
      </c>
      <c r="L47" s="20">
        <v>5553.8248000000003</v>
      </c>
      <c r="M47" s="20">
        <v>43.088000000000001</v>
      </c>
      <c r="N47" s="20">
        <v>45.012300000000003</v>
      </c>
      <c r="O47" s="20">
        <v>44.783900000000003</v>
      </c>
      <c r="P47" s="36"/>
      <c r="Q47" s="36"/>
      <c r="R47" s="36"/>
      <c r="S47" s="36"/>
      <c r="T47" s="36"/>
      <c r="U47" s="22"/>
      <c r="V47" s="20">
        <f t="shared" si="8"/>
        <v>0</v>
      </c>
      <c r="W47" s="24" t="str">
        <f>IF(OR(AND(P47="",Q47="",R47="",S47=""),AND(L47=P47,M47=Q47,N47=R47,O47=S47)),"","!")</f>
        <v/>
      </c>
      <c r="X47" s="36"/>
      <c r="Y47" s="36"/>
      <c r="Z47" s="36"/>
      <c r="AA47" s="36"/>
      <c r="AB47" s="36"/>
      <c r="AC47" s="36"/>
      <c r="AD47" s="20">
        <f t="shared" si="9"/>
        <v>0</v>
      </c>
      <c r="AE47" s="25" t="e">
        <f>RBJM($P47:$Q50,X47:Y50)</f>
        <v>#VALUE!</v>
      </c>
      <c r="AF47" s="25" t="e">
        <f>RBJM($D47:$E50,H47:I50)</f>
        <v>#VALUE!</v>
      </c>
      <c r="AG47" s="25" t="e">
        <f>RBJM($F47:$G50,J47:K50)</f>
        <v>#VALUE!</v>
      </c>
      <c r="AH47" s="25" t="e">
        <f t="shared" si="12"/>
        <v>#DIV/0!</v>
      </c>
      <c r="AI47" s="25"/>
    </row>
    <row r="48" spans="1:35" ht="12" thickBot="1">
      <c r="A48" s="26" t="s">
        <v>45</v>
      </c>
      <c r="B48" s="26" t="s">
        <v>46</v>
      </c>
      <c r="C48" s="26">
        <v>27</v>
      </c>
      <c r="D48" s="42">
        <f t="shared" si="0"/>
        <v>0</v>
      </c>
      <c r="E48" s="42">
        <f t="shared" si="1"/>
        <v>0</v>
      </c>
      <c r="F48" s="42">
        <f t="shared" si="2"/>
        <v>0</v>
      </c>
      <c r="G48" s="42">
        <f t="shared" si="3"/>
        <v>0</v>
      </c>
      <c r="H48" s="42">
        <f t="shared" si="4"/>
        <v>0</v>
      </c>
      <c r="I48" s="42">
        <f t="shared" si="5"/>
        <v>0</v>
      </c>
      <c r="J48" s="42">
        <f t="shared" si="6"/>
        <v>0</v>
      </c>
      <c r="K48" s="43">
        <f t="shared" si="7"/>
        <v>0</v>
      </c>
      <c r="L48" s="23">
        <v>3324.4472000000001</v>
      </c>
      <c r="M48" s="23">
        <v>39.442</v>
      </c>
      <c r="N48" s="23">
        <v>41.993200000000002</v>
      </c>
      <c r="O48" s="23">
        <v>41.495800000000003</v>
      </c>
      <c r="P48" s="21"/>
      <c r="Q48" s="21"/>
      <c r="R48" s="21"/>
      <c r="S48" s="21"/>
      <c r="T48" s="21"/>
      <c r="U48" s="22"/>
      <c r="V48" s="23">
        <f t="shared" si="8"/>
        <v>0</v>
      </c>
      <c r="W48" s="27" t="str">
        <f t="shared" si="10"/>
        <v/>
      </c>
      <c r="X48" s="21"/>
      <c r="Y48" s="21"/>
      <c r="Z48" s="21"/>
      <c r="AA48" s="21"/>
      <c r="AB48" s="21"/>
      <c r="AC48" s="21"/>
      <c r="AD48" s="23">
        <f t="shared" si="9"/>
        <v>0</v>
      </c>
      <c r="AE48" s="28"/>
      <c r="AF48" s="28"/>
      <c r="AG48" s="28"/>
      <c r="AH48" s="25" t="e">
        <f t="shared" si="12"/>
        <v>#DIV/0!</v>
      </c>
      <c r="AI48" s="25"/>
    </row>
    <row r="49" spans="1:35" ht="12" thickBot="1">
      <c r="A49" s="26"/>
      <c r="B49" s="26"/>
      <c r="C49" s="26">
        <v>32</v>
      </c>
      <c r="D49" s="42">
        <f t="shared" si="0"/>
        <v>0</v>
      </c>
      <c r="E49" s="42">
        <f t="shared" si="1"/>
        <v>0</v>
      </c>
      <c r="F49" s="42">
        <f t="shared" si="2"/>
        <v>0</v>
      </c>
      <c r="G49" s="42">
        <f t="shared" si="3"/>
        <v>0</v>
      </c>
      <c r="H49" s="42">
        <f t="shared" si="4"/>
        <v>0</v>
      </c>
      <c r="I49" s="42">
        <f t="shared" si="5"/>
        <v>0</v>
      </c>
      <c r="J49" s="42">
        <f t="shared" si="6"/>
        <v>0</v>
      </c>
      <c r="K49" s="43">
        <f t="shared" si="7"/>
        <v>0</v>
      </c>
      <c r="L49" s="23">
        <v>1901.104</v>
      </c>
      <c r="M49" s="23">
        <v>36.066800000000001</v>
      </c>
      <c r="N49" s="23">
        <v>39.441600000000001</v>
      </c>
      <c r="O49" s="23">
        <v>38.793399999999998</v>
      </c>
      <c r="P49" s="21"/>
      <c r="Q49" s="21"/>
      <c r="R49" s="21"/>
      <c r="S49" s="21"/>
      <c r="T49" s="21"/>
      <c r="U49" s="22"/>
      <c r="V49" s="23">
        <f t="shared" si="8"/>
        <v>0</v>
      </c>
      <c r="W49" s="27" t="str">
        <f t="shared" si="10"/>
        <v/>
      </c>
      <c r="X49" s="21"/>
      <c r="Y49" s="21"/>
      <c r="Z49" s="21"/>
      <c r="AA49" s="21"/>
      <c r="AB49" s="21"/>
      <c r="AC49" s="21"/>
      <c r="AD49" s="23">
        <f t="shared" si="9"/>
        <v>0</v>
      </c>
      <c r="AE49" s="28"/>
      <c r="AF49" s="28"/>
      <c r="AG49" s="28"/>
      <c r="AH49" s="25" t="e">
        <f t="shared" si="12"/>
        <v>#DIV/0!</v>
      </c>
      <c r="AI49" s="25"/>
    </row>
    <row r="50" spans="1:35" ht="12" thickBot="1">
      <c r="A50" s="26"/>
      <c r="B50" s="29"/>
      <c r="C50" s="29">
        <v>37</v>
      </c>
      <c r="D50" s="44">
        <f t="shared" si="0"/>
        <v>0</v>
      </c>
      <c r="E50" s="44">
        <f t="shared" si="1"/>
        <v>0</v>
      </c>
      <c r="F50" s="44">
        <f t="shared" si="2"/>
        <v>0</v>
      </c>
      <c r="G50" s="44">
        <f t="shared" si="3"/>
        <v>0</v>
      </c>
      <c r="H50" s="44">
        <f t="shared" si="4"/>
        <v>0</v>
      </c>
      <c r="I50" s="44">
        <f t="shared" si="5"/>
        <v>0</v>
      </c>
      <c r="J50" s="44">
        <f t="shared" si="6"/>
        <v>0</v>
      </c>
      <c r="K50" s="45">
        <f t="shared" si="7"/>
        <v>0</v>
      </c>
      <c r="L50" s="32">
        <v>1035.2256</v>
      </c>
      <c r="M50" s="32">
        <v>32.910800000000002</v>
      </c>
      <c r="N50" s="32">
        <v>37.173299999999998</v>
      </c>
      <c r="O50" s="32">
        <v>36.237900000000003</v>
      </c>
      <c r="P50" s="33"/>
      <c r="Q50" s="33"/>
      <c r="R50" s="33"/>
      <c r="S50" s="33"/>
      <c r="T50" s="33"/>
      <c r="U50" s="34"/>
      <c r="V50" s="32">
        <f t="shared" si="8"/>
        <v>0</v>
      </c>
      <c r="W50" s="37" t="str">
        <f t="shared" si="10"/>
        <v/>
      </c>
      <c r="X50" s="33"/>
      <c r="Y50" s="33"/>
      <c r="Z50" s="33"/>
      <c r="AA50" s="33"/>
      <c r="AB50" s="33"/>
      <c r="AC50" s="33"/>
      <c r="AD50" s="32">
        <f t="shared" si="9"/>
        <v>0</v>
      </c>
      <c r="AE50" s="29"/>
      <c r="AF50" s="29"/>
      <c r="AG50" s="29"/>
      <c r="AH50" s="25" t="e">
        <f t="shared" si="12"/>
        <v>#DIV/0!</v>
      </c>
      <c r="AI50" s="25"/>
    </row>
    <row r="51" spans="1:35" ht="12" thickBot="1">
      <c r="A51" s="26"/>
      <c r="B51" s="17" t="s">
        <v>47</v>
      </c>
      <c r="C51" s="17">
        <v>22</v>
      </c>
      <c r="D51" s="38">
        <f t="shared" si="0"/>
        <v>0</v>
      </c>
      <c r="E51" s="38">
        <f t="shared" si="1"/>
        <v>0</v>
      </c>
      <c r="F51" s="38">
        <f t="shared" si="2"/>
        <v>0</v>
      </c>
      <c r="G51" s="38">
        <f t="shared" si="3"/>
        <v>0</v>
      </c>
      <c r="H51" s="38">
        <f t="shared" si="4"/>
        <v>0</v>
      </c>
      <c r="I51" s="38">
        <f t="shared" si="5"/>
        <v>0</v>
      </c>
      <c r="J51" s="38">
        <f t="shared" si="6"/>
        <v>0</v>
      </c>
      <c r="K51" s="39">
        <f t="shared" si="7"/>
        <v>0</v>
      </c>
      <c r="L51" s="20">
        <v>13737.6728</v>
      </c>
      <c r="M51" s="20">
        <v>41.3386</v>
      </c>
      <c r="N51" s="20">
        <v>43.279299999999999</v>
      </c>
      <c r="O51" s="20">
        <v>44.167299999999997</v>
      </c>
      <c r="P51" s="36"/>
      <c r="Q51" s="36"/>
      <c r="R51" s="36"/>
      <c r="S51" s="36"/>
      <c r="T51" s="36"/>
      <c r="U51" s="22"/>
      <c r="V51" s="20">
        <f t="shared" si="8"/>
        <v>0</v>
      </c>
      <c r="W51" s="24" t="str">
        <f>IF(OR(AND(P51="",Q51="",R51="",S51=""),AND(L51=P51,M51=Q51,N51=R51,O51=S51)),"","!")</f>
        <v/>
      </c>
      <c r="X51" s="36"/>
      <c r="Y51" s="36"/>
      <c r="Z51" s="36"/>
      <c r="AA51" s="36"/>
      <c r="AB51" s="36"/>
      <c r="AC51" s="36"/>
      <c r="AD51" s="20">
        <f t="shared" si="9"/>
        <v>0</v>
      </c>
      <c r="AE51" s="25" t="e">
        <f>RBJM($P51:$Q54,X51:Y54)</f>
        <v>#VALUE!</v>
      </c>
      <c r="AF51" s="25" t="e">
        <f>RBJM($D51:$E54,H51:I54)</f>
        <v>#VALUE!</v>
      </c>
      <c r="AG51" s="25" t="e">
        <f>RBJM($F51:$G54,J51:K54)</f>
        <v>#VALUE!</v>
      </c>
      <c r="AH51" s="25" t="e">
        <f t="shared" si="12"/>
        <v>#DIV/0!</v>
      </c>
      <c r="AI51" s="25"/>
    </row>
    <row r="52" spans="1:35" ht="12" thickBot="1">
      <c r="A52" s="26"/>
      <c r="B52" s="26" t="s">
        <v>48</v>
      </c>
      <c r="C52" s="26">
        <v>27</v>
      </c>
      <c r="D52" s="18">
        <f t="shared" si="0"/>
        <v>0</v>
      </c>
      <c r="E52" s="18">
        <f t="shared" si="1"/>
        <v>0</v>
      </c>
      <c r="F52" s="18">
        <f t="shared" si="2"/>
        <v>0</v>
      </c>
      <c r="G52" s="18">
        <f t="shared" si="3"/>
        <v>0</v>
      </c>
      <c r="H52" s="18">
        <f t="shared" si="4"/>
        <v>0</v>
      </c>
      <c r="I52" s="18">
        <f t="shared" si="5"/>
        <v>0</v>
      </c>
      <c r="J52" s="18">
        <f t="shared" si="6"/>
        <v>0</v>
      </c>
      <c r="K52" s="19">
        <f t="shared" si="7"/>
        <v>0</v>
      </c>
      <c r="L52" s="23">
        <v>8697.9943999999996</v>
      </c>
      <c r="M52" s="23">
        <v>36.855800000000002</v>
      </c>
      <c r="N52" s="23">
        <v>40.7029</v>
      </c>
      <c r="O52" s="23">
        <v>41.707099999999997</v>
      </c>
      <c r="P52" s="21"/>
      <c r="Q52" s="21"/>
      <c r="R52" s="21"/>
      <c r="S52" s="21"/>
      <c r="T52" s="21"/>
      <c r="U52" s="22"/>
      <c r="V52" s="23">
        <f t="shared" si="8"/>
        <v>0</v>
      </c>
      <c r="W52" s="27" t="str">
        <f t="shared" si="10"/>
        <v/>
      </c>
      <c r="X52" s="21"/>
      <c r="Y52" s="21"/>
      <c r="Z52" s="21"/>
      <c r="AA52" s="21"/>
      <c r="AB52" s="21"/>
      <c r="AC52" s="21"/>
      <c r="AD52" s="23">
        <f t="shared" si="9"/>
        <v>0</v>
      </c>
      <c r="AE52" s="28"/>
      <c r="AF52" s="28"/>
      <c r="AG52" s="28"/>
      <c r="AH52" s="25" t="e">
        <f t="shared" si="12"/>
        <v>#DIV/0!</v>
      </c>
      <c r="AI52" s="25"/>
    </row>
    <row r="53" spans="1:35" ht="12" thickBot="1">
      <c r="A53" s="26"/>
      <c r="B53" s="26"/>
      <c r="C53" s="26">
        <v>32</v>
      </c>
      <c r="D53" s="18">
        <f t="shared" si="0"/>
        <v>0</v>
      </c>
      <c r="E53" s="18">
        <f t="shared" si="1"/>
        <v>0</v>
      </c>
      <c r="F53" s="18">
        <f t="shared" si="2"/>
        <v>0</v>
      </c>
      <c r="G53" s="18">
        <f t="shared" si="3"/>
        <v>0</v>
      </c>
      <c r="H53" s="18">
        <f t="shared" si="4"/>
        <v>0</v>
      </c>
      <c r="I53" s="18">
        <f t="shared" si="5"/>
        <v>0</v>
      </c>
      <c r="J53" s="18">
        <f t="shared" si="6"/>
        <v>0</v>
      </c>
      <c r="K53" s="19">
        <f t="shared" si="7"/>
        <v>0</v>
      </c>
      <c r="L53" s="23">
        <v>5363.6239999999998</v>
      </c>
      <c r="M53" s="23">
        <v>33.090200000000003</v>
      </c>
      <c r="N53" s="23">
        <v>39.058599999999998</v>
      </c>
      <c r="O53" s="23">
        <v>39.930199999999999</v>
      </c>
      <c r="P53" s="21"/>
      <c r="Q53" s="21"/>
      <c r="R53" s="21"/>
      <c r="S53" s="21"/>
      <c r="T53" s="21"/>
      <c r="U53" s="22"/>
      <c r="V53" s="23">
        <f t="shared" si="8"/>
        <v>0</v>
      </c>
      <c r="W53" s="27" t="str">
        <f t="shared" si="10"/>
        <v/>
      </c>
      <c r="X53" s="21"/>
      <c r="Y53" s="21"/>
      <c r="Z53" s="21"/>
      <c r="AA53" s="21"/>
      <c r="AB53" s="21"/>
      <c r="AC53" s="21"/>
      <c r="AD53" s="23">
        <f t="shared" si="9"/>
        <v>0</v>
      </c>
      <c r="AE53" s="28"/>
      <c r="AF53" s="28"/>
      <c r="AG53" s="28"/>
      <c r="AH53" s="25" t="e">
        <f t="shared" si="12"/>
        <v>#DIV/0!</v>
      </c>
      <c r="AI53" s="25"/>
    </row>
    <row r="54" spans="1:35" ht="12" thickBot="1">
      <c r="A54" s="26"/>
      <c r="B54" s="29"/>
      <c r="C54" s="29">
        <v>37</v>
      </c>
      <c r="D54" s="30">
        <f t="shared" si="0"/>
        <v>0</v>
      </c>
      <c r="E54" s="30">
        <f t="shared" si="1"/>
        <v>0</v>
      </c>
      <c r="F54" s="30">
        <f t="shared" si="2"/>
        <v>0</v>
      </c>
      <c r="G54" s="30">
        <f t="shared" si="3"/>
        <v>0</v>
      </c>
      <c r="H54" s="30">
        <f t="shared" si="4"/>
        <v>0</v>
      </c>
      <c r="I54" s="30">
        <f t="shared" si="5"/>
        <v>0</v>
      </c>
      <c r="J54" s="30">
        <f t="shared" si="6"/>
        <v>0</v>
      </c>
      <c r="K54" s="31">
        <f t="shared" si="7"/>
        <v>0</v>
      </c>
      <c r="L54" s="32">
        <v>3153.3847999999998</v>
      </c>
      <c r="M54" s="32">
        <v>29.5319</v>
      </c>
      <c r="N54" s="32">
        <v>37.829500000000003</v>
      </c>
      <c r="O54" s="32">
        <v>38.229999999999997</v>
      </c>
      <c r="P54" s="33"/>
      <c r="Q54" s="33"/>
      <c r="R54" s="33"/>
      <c r="S54" s="33"/>
      <c r="T54" s="33"/>
      <c r="U54" s="34"/>
      <c r="V54" s="32">
        <f t="shared" si="8"/>
        <v>0</v>
      </c>
      <c r="W54" s="37" t="str">
        <f t="shared" si="10"/>
        <v/>
      </c>
      <c r="X54" s="33"/>
      <c r="Y54" s="33"/>
      <c r="Z54" s="33"/>
      <c r="AA54" s="33"/>
      <c r="AB54" s="33"/>
      <c r="AC54" s="33"/>
      <c r="AD54" s="32">
        <f t="shared" si="9"/>
        <v>0</v>
      </c>
      <c r="AE54" s="29"/>
      <c r="AF54" s="29"/>
      <c r="AG54" s="29"/>
      <c r="AH54" s="25" t="e">
        <f t="shared" si="12"/>
        <v>#DIV/0!</v>
      </c>
      <c r="AI54" s="25"/>
    </row>
    <row r="55" spans="1:35" ht="12" thickBot="1">
      <c r="A55" s="26"/>
      <c r="B55" s="17" t="s">
        <v>49</v>
      </c>
      <c r="C55" s="17">
        <v>22</v>
      </c>
      <c r="D55" s="40">
        <f t="shared" si="0"/>
        <v>0</v>
      </c>
      <c r="E55" s="40">
        <f t="shared" si="1"/>
        <v>0</v>
      </c>
      <c r="F55" s="40">
        <f t="shared" si="2"/>
        <v>0</v>
      </c>
      <c r="G55" s="40">
        <f t="shared" si="3"/>
        <v>0</v>
      </c>
      <c r="H55" s="40">
        <f t="shared" si="4"/>
        <v>0</v>
      </c>
      <c r="I55" s="40">
        <f t="shared" si="5"/>
        <v>0</v>
      </c>
      <c r="J55" s="40">
        <f t="shared" si="6"/>
        <v>0</v>
      </c>
      <c r="K55" s="41">
        <f t="shared" si="7"/>
        <v>0</v>
      </c>
      <c r="L55" s="20">
        <v>11975.7464</v>
      </c>
      <c r="M55" s="20">
        <v>41.178100000000001</v>
      </c>
      <c r="N55" s="20">
        <v>42.177399999999999</v>
      </c>
      <c r="O55" s="20">
        <v>42.870100000000001</v>
      </c>
      <c r="P55" s="36"/>
      <c r="Q55" s="36"/>
      <c r="R55" s="36"/>
      <c r="S55" s="36"/>
      <c r="T55" s="36"/>
      <c r="U55" s="22"/>
      <c r="V55" s="20">
        <f t="shared" si="8"/>
        <v>0</v>
      </c>
      <c r="W55" s="24" t="str">
        <f>IF(OR(AND(P55="",Q55="",R55="",S55=""),AND(L55=P55,M55=Q55,N55=R55,O55=S55)),"","!")</f>
        <v/>
      </c>
      <c r="X55" s="36"/>
      <c r="Y55" s="36"/>
      <c r="Z55" s="36"/>
      <c r="AA55" s="36"/>
      <c r="AB55" s="36"/>
      <c r="AC55" s="36"/>
      <c r="AD55" s="20">
        <f t="shared" si="9"/>
        <v>0</v>
      </c>
      <c r="AE55" s="25" t="e">
        <f>RBJM($P55:$Q58,X55:Y58)</f>
        <v>#VALUE!</v>
      </c>
      <c r="AF55" s="25" t="e">
        <f>RBJM($D55:$E58,H55:I58)</f>
        <v>#VALUE!</v>
      </c>
      <c r="AG55" s="25" t="e">
        <f>RBJM($F55:$G58,J55:K58)</f>
        <v>#VALUE!</v>
      </c>
      <c r="AH55" s="25" t="e">
        <f t="shared" si="12"/>
        <v>#DIV/0!</v>
      </c>
      <c r="AI55" s="25"/>
    </row>
    <row r="56" spans="1:35" ht="12" thickBot="1">
      <c r="A56" s="26"/>
      <c r="B56" s="26" t="s">
        <v>50</v>
      </c>
      <c r="C56" s="26">
        <v>27</v>
      </c>
      <c r="D56" s="42">
        <f t="shared" si="0"/>
        <v>0</v>
      </c>
      <c r="E56" s="42">
        <f t="shared" si="1"/>
        <v>0</v>
      </c>
      <c r="F56" s="42">
        <f t="shared" si="2"/>
        <v>0</v>
      </c>
      <c r="G56" s="42">
        <f t="shared" si="3"/>
        <v>0</v>
      </c>
      <c r="H56" s="42">
        <f t="shared" si="4"/>
        <v>0</v>
      </c>
      <c r="I56" s="42">
        <f t="shared" si="5"/>
        <v>0</v>
      </c>
      <c r="J56" s="42">
        <f t="shared" si="6"/>
        <v>0</v>
      </c>
      <c r="K56" s="43">
        <f t="shared" si="7"/>
        <v>0</v>
      </c>
      <c r="L56" s="23">
        <v>7372.7248</v>
      </c>
      <c r="M56" s="23">
        <v>36.759399999999999</v>
      </c>
      <c r="N56" s="23">
        <v>39.021599999999999</v>
      </c>
      <c r="O56" s="23">
        <v>39.531199999999998</v>
      </c>
      <c r="P56" s="21"/>
      <c r="Q56" s="21"/>
      <c r="R56" s="21"/>
      <c r="S56" s="21"/>
      <c r="T56" s="21"/>
      <c r="U56" s="22"/>
      <c r="V56" s="23">
        <f t="shared" si="8"/>
        <v>0</v>
      </c>
      <c r="W56" s="27" t="str">
        <f t="shared" si="10"/>
        <v/>
      </c>
      <c r="X56" s="21"/>
      <c r="Y56" s="21"/>
      <c r="Z56" s="21"/>
      <c r="AA56" s="21"/>
      <c r="AB56" s="21"/>
      <c r="AC56" s="21"/>
      <c r="AD56" s="23">
        <f t="shared" si="9"/>
        <v>0</v>
      </c>
      <c r="AE56" s="28"/>
      <c r="AF56" s="28"/>
      <c r="AG56" s="28"/>
      <c r="AH56" s="25" t="e">
        <f t="shared" si="12"/>
        <v>#DIV/0!</v>
      </c>
      <c r="AI56" s="25"/>
    </row>
    <row r="57" spans="1:35" ht="12" thickBot="1">
      <c r="A57" s="26"/>
      <c r="B57" s="26"/>
      <c r="C57" s="26">
        <v>32</v>
      </c>
      <c r="D57" s="42">
        <f t="shared" si="0"/>
        <v>0</v>
      </c>
      <c r="E57" s="42">
        <f t="shared" si="1"/>
        <v>0</v>
      </c>
      <c r="F57" s="42">
        <f t="shared" si="2"/>
        <v>0</v>
      </c>
      <c r="G57" s="42">
        <f t="shared" si="3"/>
        <v>0</v>
      </c>
      <c r="H57" s="42">
        <f t="shared" si="4"/>
        <v>0</v>
      </c>
      <c r="I57" s="42">
        <f t="shared" si="5"/>
        <v>0</v>
      </c>
      <c r="J57" s="42">
        <f t="shared" si="6"/>
        <v>0</v>
      </c>
      <c r="K57" s="43">
        <f t="shared" si="7"/>
        <v>0</v>
      </c>
      <c r="L57" s="23">
        <v>4188.2056000000002</v>
      </c>
      <c r="M57" s="23">
        <v>32.823900000000002</v>
      </c>
      <c r="N57" s="23">
        <v>36.556399999999996</v>
      </c>
      <c r="O57" s="23">
        <v>37.008600000000001</v>
      </c>
      <c r="P57" s="21"/>
      <c r="Q57" s="21"/>
      <c r="R57" s="21"/>
      <c r="S57" s="21"/>
      <c r="T57" s="21"/>
      <c r="U57" s="22"/>
      <c r="V57" s="23">
        <f t="shared" si="8"/>
        <v>0</v>
      </c>
      <c r="W57" s="27" t="str">
        <f t="shared" si="10"/>
        <v/>
      </c>
      <c r="X57" s="21"/>
      <c r="Y57" s="21"/>
      <c r="Z57" s="21"/>
      <c r="AA57" s="21"/>
      <c r="AB57" s="21"/>
      <c r="AC57" s="21"/>
      <c r="AD57" s="23">
        <f t="shared" si="9"/>
        <v>0</v>
      </c>
      <c r="AE57" s="28"/>
      <c r="AF57" s="28"/>
      <c r="AG57" s="28"/>
      <c r="AH57" s="25" t="e">
        <f t="shared" si="12"/>
        <v>#DIV/0!</v>
      </c>
      <c r="AI57" s="25"/>
    </row>
    <row r="58" spans="1:35" ht="12" thickBot="1">
      <c r="A58" s="26"/>
      <c r="B58" s="29"/>
      <c r="C58" s="29">
        <v>37</v>
      </c>
      <c r="D58" s="44">
        <f t="shared" si="0"/>
        <v>0</v>
      </c>
      <c r="E58" s="44">
        <f t="shared" si="1"/>
        <v>0</v>
      </c>
      <c r="F58" s="44">
        <f t="shared" si="2"/>
        <v>0</v>
      </c>
      <c r="G58" s="44">
        <f t="shared" si="3"/>
        <v>0</v>
      </c>
      <c r="H58" s="44">
        <f t="shared" si="4"/>
        <v>0</v>
      </c>
      <c r="I58" s="44">
        <f t="shared" si="5"/>
        <v>0</v>
      </c>
      <c r="J58" s="44">
        <f t="shared" si="6"/>
        <v>0</v>
      </c>
      <c r="K58" s="45">
        <f t="shared" si="7"/>
        <v>0</v>
      </c>
      <c r="L58" s="32">
        <v>2115.0304000000001</v>
      </c>
      <c r="M58" s="32">
        <v>29.266200000000001</v>
      </c>
      <c r="N58" s="32">
        <v>34.390500000000003</v>
      </c>
      <c r="O58" s="32">
        <v>34.862299999999998</v>
      </c>
      <c r="P58" s="33"/>
      <c r="Q58" s="33"/>
      <c r="R58" s="33"/>
      <c r="S58" s="33"/>
      <c r="T58" s="33"/>
      <c r="U58" s="34"/>
      <c r="V58" s="32">
        <f t="shared" si="8"/>
        <v>0</v>
      </c>
      <c r="W58" s="37" t="str">
        <f t="shared" si="10"/>
        <v/>
      </c>
      <c r="X58" s="33"/>
      <c r="Y58" s="33"/>
      <c r="Z58" s="33"/>
      <c r="AA58" s="33"/>
      <c r="AB58" s="33"/>
      <c r="AC58" s="33"/>
      <c r="AD58" s="32">
        <f t="shared" si="9"/>
        <v>0</v>
      </c>
      <c r="AE58" s="29"/>
      <c r="AF58" s="29"/>
      <c r="AG58" s="29"/>
      <c r="AH58" s="25" t="e">
        <f t="shared" si="12"/>
        <v>#DIV/0!</v>
      </c>
      <c r="AI58" s="25"/>
    </row>
    <row r="59" spans="1:35" ht="12" thickBot="1">
      <c r="A59" s="26"/>
      <c r="B59" s="17" t="s">
        <v>51</v>
      </c>
      <c r="C59" s="17">
        <v>22</v>
      </c>
      <c r="D59" s="38">
        <f t="shared" si="0"/>
        <v>0</v>
      </c>
      <c r="E59" s="38">
        <f t="shared" si="1"/>
        <v>0</v>
      </c>
      <c r="F59" s="38">
        <f t="shared" si="2"/>
        <v>0</v>
      </c>
      <c r="G59" s="38">
        <f t="shared" si="3"/>
        <v>0</v>
      </c>
      <c r="H59" s="38">
        <f t="shared" si="4"/>
        <v>0</v>
      </c>
      <c r="I59" s="38">
        <f t="shared" si="5"/>
        <v>0</v>
      </c>
      <c r="J59" s="38">
        <f t="shared" si="6"/>
        <v>0</v>
      </c>
      <c r="K59" s="39">
        <f t="shared" si="7"/>
        <v>0</v>
      </c>
      <c r="L59" s="20">
        <v>4652.5663999999997</v>
      </c>
      <c r="M59" s="20">
        <v>42.672699999999999</v>
      </c>
      <c r="N59" s="20">
        <v>43.261600000000001</v>
      </c>
      <c r="O59" s="20">
        <v>44.022100000000002</v>
      </c>
      <c r="P59" s="36"/>
      <c r="Q59" s="36"/>
      <c r="R59" s="36"/>
      <c r="S59" s="36"/>
      <c r="T59" s="36"/>
      <c r="U59" s="22"/>
      <c r="V59" s="20">
        <f t="shared" si="8"/>
        <v>0</v>
      </c>
      <c r="W59" s="24" t="str">
        <f>IF(OR(AND(P59="",Q59="",R59="",S59=""),AND(L59=P59,M59=Q59,N59=R59,O59=S59)),"","!")</f>
        <v/>
      </c>
      <c r="X59" s="36"/>
      <c r="Y59" s="36"/>
      <c r="Z59" s="36"/>
      <c r="AA59" s="36"/>
      <c r="AB59" s="36"/>
      <c r="AC59" s="36"/>
      <c r="AD59" s="20">
        <f t="shared" si="9"/>
        <v>0</v>
      </c>
      <c r="AE59" s="25" t="e">
        <f>RBJM($P59:$Q62,X59:Y62)</f>
        <v>#VALUE!</v>
      </c>
      <c r="AF59" s="25" t="e">
        <f>RBJM($D59:$E62,H59:I62)</f>
        <v>#VALUE!</v>
      </c>
      <c r="AG59" s="25" t="e">
        <f>RBJM($F59:$G62,J59:K62)</f>
        <v>#VALUE!</v>
      </c>
      <c r="AH59" s="25" t="e">
        <f t="shared" si="12"/>
        <v>#DIV/0!</v>
      </c>
      <c r="AI59" s="25"/>
    </row>
    <row r="60" spans="1:35" ht="12" thickBot="1">
      <c r="A60" s="26"/>
      <c r="B60" s="26" t="s">
        <v>42</v>
      </c>
      <c r="C60" s="26">
        <v>27</v>
      </c>
      <c r="D60" s="18">
        <f t="shared" si="0"/>
        <v>0</v>
      </c>
      <c r="E60" s="18">
        <f t="shared" si="1"/>
        <v>0</v>
      </c>
      <c r="F60" s="18">
        <f t="shared" si="2"/>
        <v>0</v>
      </c>
      <c r="G60" s="18">
        <f t="shared" si="3"/>
        <v>0</v>
      </c>
      <c r="H60" s="18">
        <f t="shared" si="4"/>
        <v>0</v>
      </c>
      <c r="I60" s="18">
        <f t="shared" si="5"/>
        <v>0</v>
      </c>
      <c r="J60" s="18">
        <f t="shared" si="6"/>
        <v>0</v>
      </c>
      <c r="K60" s="19">
        <f t="shared" si="7"/>
        <v>0</v>
      </c>
      <c r="L60" s="23">
        <v>2822.5576000000001</v>
      </c>
      <c r="M60" s="23">
        <v>38.576799999999999</v>
      </c>
      <c r="N60" s="23">
        <v>39.889499999999998</v>
      </c>
      <c r="O60" s="23">
        <v>41.087800000000001</v>
      </c>
      <c r="P60" s="21"/>
      <c r="Q60" s="21"/>
      <c r="R60" s="21"/>
      <c r="S60" s="21"/>
      <c r="T60" s="21"/>
      <c r="U60" s="22"/>
      <c r="V60" s="23">
        <f t="shared" si="8"/>
        <v>0</v>
      </c>
      <c r="W60" s="27" t="str">
        <f t="shared" si="10"/>
        <v/>
      </c>
      <c r="X60" s="21"/>
      <c r="Y60" s="21"/>
      <c r="Z60" s="21"/>
      <c r="AA60" s="21"/>
      <c r="AB60" s="21"/>
      <c r="AC60" s="21"/>
      <c r="AD60" s="23">
        <f t="shared" si="9"/>
        <v>0</v>
      </c>
      <c r="AE60" s="28"/>
      <c r="AF60" s="28"/>
      <c r="AG60" s="28"/>
      <c r="AH60" s="25" t="e">
        <f t="shared" si="12"/>
        <v>#DIV/0!</v>
      </c>
      <c r="AI60" s="25"/>
    </row>
    <row r="61" spans="1:35" ht="12" thickBot="1">
      <c r="A61" s="26"/>
      <c r="B61" s="26"/>
      <c r="C61" s="26">
        <v>32</v>
      </c>
      <c r="D61" s="18">
        <f t="shared" si="0"/>
        <v>0</v>
      </c>
      <c r="E61" s="18">
        <f t="shared" si="1"/>
        <v>0</v>
      </c>
      <c r="F61" s="18">
        <f t="shared" si="2"/>
        <v>0</v>
      </c>
      <c r="G61" s="18">
        <f t="shared" si="3"/>
        <v>0</v>
      </c>
      <c r="H61" s="18">
        <f t="shared" si="4"/>
        <v>0</v>
      </c>
      <c r="I61" s="18">
        <f t="shared" si="5"/>
        <v>0</v>
      </c>
      <c r="J61" s="18">
        <f t="shared" si="6"/>
        <v>0</v>
      </c>
      <c r="K61" s="19">
        <f t="shared" si="7"/>
        <v>0</v>
      </c>
      <c r="L61" s="23">
        <v>1560.1967999999999</v>
      </c>
      <c r="M61" s="23">
        <v>34.727699999999999</v>
      </c>
      <c r="N61" s="23">
        <v>37.406799999999997</v>
      </c>
      <c r="O61" s="23">
        <v>38.621000000000002</v>
      </c>
      <c r="P61" s="21"/>
      <c r="Q61" s="21"/>
      <c r="R61" s="21"/>
      <c r="S61" s="21"/>
      <c r="T61" s="21"/>
      <c r="U61" s="22"/>
      <c r="V61" s="23">
        <f t="shared" si="8"/>
        <v>0</v>
      </c>
      <c r="W61" s="27" t="str">
        <f t="shared" si="10"/>
        <v/>
      </c>
      <c r="X61" s="21"/>
      <c r="Y61" s="21"/>
      <c r="Z61" s="21"/>
      <c r="AA61" s="21"/>
      <c r="AB61" s="21"/>
      <c r="AC61" s="21"/>
      <c r="AD61" s="23">
        <f t="shared" si="9"/>
        <v>0</v>
      </c>
      <c r="AE61" s="28"/>
      <c r="AF61" s="28"/>
      <c r="AG61" s="28"/>
      <c r="AH61" s="25" t="e">
        <f t="shared" si="12"/>
        <v>#DIV/0!</v>
      </c>
      <c r="AI61" s="25"/>
    </row>
    <row r="62" spans="1:35" ht="12" thickBot="1">
      <c r="A62" s="29"/>
      <c r="B62" s="29"/>
      <c r="C62" s="29">
        <v>37</v>
      </c>
      <c r="D62" s="46">
        <f t="shared" si="0"/>
        <v>0</v>
      </c>
      <c r="E62" s="46">
        <f t="shared" si="1"/>
        <v>0</v>
      </c>
      <c r="F62" s="46">
        <f t="shared" si="2"/>
        <v>0</v>
      </c>
      <c r="G62" s="46">
        <f t="shared" si="3"/>
        <v>0</v>
      </c>
      <c r="H62" s="46">
        <f t="shared" si="4"/>
        <v>0</v>
      </c>
      <c r="I62" s="46">
        <f t="shared" si="5"/>
        <v>0</v>
      </c>
      <c r="J62" s="46">
        <f t="shared" si="6"/>
        <v>0</v>
      </c>
      <c r="K62" s="47">
        <f t="shared" si="7"/>
        <v>0</v>
      </c>
      <c r="L62" s="32">
        <v>768.26800000000003</v>
      </c>
      <c r="M62" s="32">
        <v>31.408999999999999</v>
      </c>
      <c r="N62" s="32">
        <v>35.030299999999997</v>
      </c>
      <c r="O62" s="32">
        <v>36.182299999999998</v>
      </c>
      <c r="P62" s="33"/>
      <c r="Q62" s="33"/>
      <c r="R62" s="33"/>
      <c r="S62" s="33"/>
      <c r="T62" s="33"/>
      <c r="U62" s="34"/>
      <c r="V62" s="32">
        <f t="shared" si="8"/>
        <v>0</v>
      </c>
      <c r="W62" s="37" t="str">
        <f t="shared" si="10"/>
        <v/>
      </c>
      <c r="X62" s="33"/>
      <c r="Y62" s="33"/>
      <c r="Z62" s="33"/>
      <c r="AA62" s="33"/>
      <c r="AB62" s="33"/>
      <c r="AC62" s="33"/>
      <c r="AD62" s="32">
        <f t="shared" si="9"/>
        <v>0</v>
      </c>
      <c r="AE62" s="29"/>
      <c r="AF62" s="29"/>
      <c r="AG62" s="29"/>
      <c r="AH62" s="25" t="e">
        <f t="shared" si="12"/>
        <v>#DIV/0!</v>
      </c>
      <c r="AI62" s="25"/>
    </row>
    <row r="63" spans="1:35" ht="12" thickBot="1">
      <c r="A63" s="17" t="s">
        <v>52</v>
      </c>
      <c r="B63" s="17" t="s">
        <v>53</v>
      </c>
      <c r="C63" s="17">
        <v>22</v>
      </c>
      <c r="D63" s="40">
        <f t="shared" si="0"/>
        <v>0</v>
      </c>
      <c r="E63" s="40">
        <f t="shared" si="1"/>
        <v>0</v>
      </c>
      <c r="F63" s="40">
        <f t="shared" si="2"/>
        <v>0</v>
      </c>
      <c r="G63" s="40">
        <f t="shared" si="3"/>
        <v>0</v>
      </c>
      <c r="H63" s="40">
        <f t="shared" si="4"/>
        <v>0</v>
      </c>
      <c r="I63" s="40">
        <f t="shared" si="5"/>
        <v>0</v>
      </c>
      <c r="J63" s="40">
        <f t="shared" si="6"/>
        <v>0</v>
      </c>
      <c r="K63" s="41">
        <f t="shared" si="7"/>
        <v>0</v>
      </c>
      <c r="L63" s="20">
        <v>21820.211200000002</v>
      </c>
      <c r="M63" s="20">
        <v>44.745399999999997</v>
      </c>
      <c r="N63" s="20">
        <v>47.310499999999998</v>
      </c>
      <c r="O63" s="20">
        <v>48.205399999999997</v>
      </c>
      <c r="P63" s="36"/>
      <c r="Q63" s="36"/>
      <c r="R63" s="36"/>
      <c r="S63" s="36"/>
      <c r="T63" s="36"/>
      <c r="U63" s="22"/>
      <c r="V63" s="20">
        <f t="shared" si="8"/>
        <v>0</v>
      </c>
      <c r="W63" s="24" t="str">
        <f>IF(OR(AND(P63="",Q63="",R63="",S63=""),AND(L63=P63,M63=Q63,N63=R63,O63=S63)),"","!")</f>
        <v/>
      </c>
      <c r="X63" s="36"/>
      <c r="Y63" s="36"/>
      <c r="Z63" s="36"/>
      <c r="AA63" s="36"/>
      <c r="AB63" s="36"/>
      <c r="AC63" s="36"/>
      <c r="AD63" s="20">
        <f t="shared" si="9"/>
        <v>0</v>
      </c>
      <c r="AE63" s="25" t="e">
        <f>RBJM($P63:$Q66,X63:Y66)</f>
        <v>#VALUE!</v>
      </c>
      <c r="AF63" s="25" t="e">
        <f>RBJM($D63:$E66,H63:I66)</f>
        <v>#VALUE!</v>
      </c>
      <c r="AG63" s="25" t="e">
        <f>RBJM($F63:$G66,J63:K66)</f>
        <v>#VALUE!</v>
      </c>
      <c r="AH63" s="25" t="e">
        <f t="shared" si="12"/>
        <v>#DIV/0!</v>
      </c>
      <c r="AI63" s="25"/>
    </row>
    <row r="64" spans="1:35" ht="12" thickBot="1">
      <c r="A64" s="26" t="s">
        <v>54</v>
      </c>
      <c r="B64" s="26" t="s">
        <v>55</v>
      </c>
      <c r="C64" s="26">
        <v>27</v>
      </c>
      <c r="D64" s="42">
        <f t="shared" si="0"/>
        <v>0</v>
      </c>
      <c r="E64" s="42">
        <f t="shared" si="1"/>
        <v>0</v>
      </c>
      <c r="F64" s="42">
        <f t="shared" si="2"/>
        <v>0</v>
      </c>
      <c r="G64" s="42">
        <f t="shared" si="3"/>
        <v>0</v>
      </c>
      <c r="H64" s="42">
        <f t="shared" si="4"/>
        <v>0</v>
      </c>
      <c r="I64" s="42">
        <f t="shared" si="5"/>
        <v>0</v>
      </c>
      <c r="J64" s="42">
        <f t="shared" si="6"/>
        <v>0</v>
      </c>
      <c r="K64" s="43">
        <f t="shared" si="7"/>
        <v>0</v>
      </c>
      <c r="L64" s="23">
        <v>12954.9856</v>
      </c>
      <c r="M64" s="23">
        <v>42.338999999999999</v>
      </c>
      <c r="N64" s="23">
        <v>45.819099999999999</v>
      </c>
      <c r="O64" s="23">
        <v>46.494199999999999</v>
      </c>
      <c r="P64" s="21"/>
      <c r="Q64" s="21"/>
      <c r="R64" s="21"/>
      <c r="S64" s="21"/>
      <c r="T64" s="21"/>
      <c r="U64" s="22"/>
      <c r="V64" s="23">
        <f t="shared" si="8"/>
        <v>0</v>
      </c>
      <c r="W64" s="27" t="str">
        <f t="shared" si="10"/>
        <v/>
      </c>
      <c r="X64" s="21"/>
      <c r="Y64" s="21"/>
      <c r="Z64" s="21"/>
      <c r="AA64" s="21"/>
      <c r="AB64" s="21"/>
      <c r="AC64" s="21"/>
      <c r="AD64" s="23">
        <f t="shared" si="9"/>
        <v>0</v>
      </c>
      <c r="AE64" s="28"/>
      <c r="AF64" s="28"/>
      <c r="AG64" s="28"/>
      <c r="AH64" s="25" t="e">
        <f t="shared" si="12"/>
        <v>#DIV/0!</v>
      </c>
      <c r="AI64" s="25"/>
    </row>
    <row r="65" spans="1:35" ht="12" thickBot="1">
      <c r="A65" s="26"/>
      <c r="B65" s="26"/>
      <c r="C65" s="26">
        <v>32</v>
      </c>
      <c r="D65" s="42">
        <f t="shared" si="0"/>
        <v>0</v>
      </c>
      <c r="E65" s="42">
        <f t="shared" si="1"/>
        <v>0</v>
      </c>
      <c r="F65" s="42">
        <f t="shared" si="2"/>
        <v>0</v>
      </c>
      <c r="G65" s="42">
        <f t="shared" si="3"/>
        <v>0</v>
      </c>
      <c r="H65" s="42">
        <f t="shared" si="4"/>
        <v>0</v>
      </c>
      <c r="I65" s="42">
        <f t="shared" si="5"/>
        <v>0</v>
      </c>
      <c r="J65" s="42">
        <f t="shared" si="6"/>
        <v>0</v>
      </c>
      <c r="K65" s="43">
        <f t="shared" si="7"/>
        <v>0</v>
      </c>
      <c r="L65" s="23">
        <v>7795.1288000000004</v>
      </c>
      <c r="M65" s="23">
        <v>39.7254</v>
      </c>
      <c r="N65" s="23">
        <v>44.270699999999998</v>
      </c>
      <c r="O65" s="23">
        <v>44.7483</v>
      </c>
      <c r="P65" s="21"/>
      <c r="Q65" s="21"/>
      <c r="R65" s="21"/>
      <c r="S65" s="21"/>
      <c r="T65" s="21"/>
      <c r="U65" s="22"/>
      <c r="V65" s="23">
        <f t="shared" si="8"/>
        <v>0</v>
      </c>
      <c r="W65" s="27" t="str">
        <f t="shared" si="10"/>
        <v/>
      </c>
      <c r="X65" s="21"/>
      <c r="Y65" s="21"/>
      <c r="Z65" s="21"/>
      <c r="AA65" s="21"/>
      <c r="AB65" s="21"/>
      <c r="AC65" s="21"/>
      <c r="AD65" s="23">
        <f t="shared" si="9"/>
        <v>0</v>
      </c>
      <c r="AE65" s="28"/>
      <c r="AF65" s="28"/>
      <c r="AG65" s="28"/>
      <c r="AH65" s="25" t="e">
        <f t="shared" si="12"/>
        <v>#DIV/0!</v>
      </c>
      <c r="AI65" s="25"/>
    </row>
    <row r="66" spans="1:35" ht="12" thickBot="1">
      <c r="A66" s="26"/>
      <c r="B66" s="29"/>
      <c r="C66" s="29">
        <v>37</v>
      </c>
      <c r="D66" s="44">
        <f t="shared" si="0"/>
        <v>0</v>
      </c>
      <c r="E66" s="44">
        <f t="shared" si="1"/>
        <v>0</v>
      </c>
      <c r="F66" s="44">
        <f t="shared" si="2"/>
        <v>0</v>
      </c>
      <c r="G66" s="44">
        <f t="shared" si="3"/>
        <v>0</v>
      </c>
      <c r="H66" s="44">
        <f t="shared" si="4"/>
        <v>0</v>
      </c>
      <c r="I66" s="44">
        <f t="shared" si="5"/>
        <v>0</v>
      </c>
      <c r="J66" s="44">
        <f t="shared" si="6"/>
        <v>0</v>
      </c>
      <c r="K66" s="45">
        <f t="shared" si="7"/>
        <v>0</v>
      </c>
      <c r="L66" s="32">
        <v>4680.3424000000005</v>
      </c>
      <c r="M66" s="32">
        <v>36.9131</v>
      </c>
      <c r="N66" s="32">
        <v>42.669400000000003</v>
      </c>
      <c r="O66" s="32">
        <v>42.917000000000002</v>
      </c>
      <c r="P66" s="33"/>
      <c r="Q66" s="33"/>
      <c r="R66" s="33"/>
      <c r="S66" s="33"/>
      <c r="T66" s="33"/>
      <c r="U66" s="34"/>
      <c r="V66" s="32">
        <f t="shared" si="8"/>
        <v>0</v>
      </c>
      <c r="W66" s="37" t="str">
        <f t="shared" si="10"/>
        <v/>
      </c>
      <c r="X66" s="33"/>
      <c r="Y66" s="33"/>
      <c r="Z66" s="33"/>
      <c r="AA66" s="33"/>
      <c r="AB66" s="33"/>
      <c r="AC66" s="33"/>
      <c r="AD66" s="32">
        <f t="shared" si="9"/>
        <v>0</v>
      </c>
      <c r="AE66" s="29"/>
      <c r="AF66" s="29"/>
      <c r="AG66" s="29"/>
      <c r="AH66" s="25" t="e">
        <f t="shared" si="12"/>
        <v>#DIV/0!</v>
      </c>
      <c r="AI66" s="25"/>
    </row>
    <row r="67" spans="1:35" ht="12" thickBot="1">
      <c r="A67" s="26"/>
      <c r="B67" s="17" t="s">
        <v>56</v>
      </c>
      <c r="C67" s="17">
        <v>22</v>
      </c>
      <c r="D67" s="38">
        <f t="shared" ref="D67:D74" si="13">P67</f>
        <v>0</v>
      </c>
      <c r="E67" s="38">
        <f t="shared" ref="E67:E74" si="14">R67</f>
        <v>0</v>
      </c>
      <c r="F67" s="38">
        <f t="shared" ref="F67:F74" si="15">P67</f>
        <v>0</v>
      </c>
      <c r="G67" s="38">
        <f t="shared" ref="G67:G74" si="16">S67</f>
        <v>0</v>
      </c>
      <c r="H67" s="38">
        <f t="shared" ref="H67:H74" si="17">X67</f>
        <v>0</v>
      </c>
      <c r="I67" s="38">
        <f t="shared" ref="I67:I74" si="18">Z67</f>
        <v>0</v>
      </c>
      <c r="J67" s="38">
        <f t="shared" ref="J67:J74" si="19">X67</f>
        <v>0</v>
      </c>
      <c r="K67" s="39">
        <f t="shared" ref="K67:K74" si="20">AA67</f>
        <v>0</v>
      </c>
      <c r="L67" s="20">
        <v>22362.134399999999</v>
      </c>
      <c r="M67" s="20">
        <v>44.707799999999999</v>
      </c>
      <c r="N67" s="20">
        <v>48.474400000000003</v>
      </c>
      <c r="O67" s="20">
        <v>48.293500000000002</v>
      </c>
      <c r="P67" s="36"/>
      <c r="Q67" s="36"/>
      <c r="R67" s="36"/>
      <c r="S67" s="36"/>
      <c r="T67" s="36"/>
      <c r="U67" s="22"/>
      <c r="V67" s="20">
        <f t="shared" ref="V67:V74" si="21">T67/3600</f>
        <v>0</v>
      </c>
      <c r="W67" s="24" t="str">
        <f>IF(OR(AND(P67="",Q67="",R67="",S67=""),AND(L67=P67,M67=Q67,N67=R67,O67=S67)),"","!")</f>
        <v/>
      </c>
      <c r="X67" s="36"/>
      <c r="Y67" s="36"/>
      <c r="Z67" s="36"/>
      <c r="AA67" s="36"/>
      <c r="AB67" s="36"/>
      <c r="AC67" s="36"/>
      <c r="AD67" s="20">
        <f t="shared" ref="AD67:AD74" si="22">AB67/3600</f>
        <v>0</v>
      </c>
      <c r="AE67" s="25" t="e">
        <f>RBJM($P67:$Q70,X67:Y70)</f>
        <v>#VALUE!</v>
      </c>
      <c r="AF67" s="25" t="e">
        <f>RBJM($D67:$E70,H67:I70)</f>
        <v>#VALUE!</v>
      </c>
      <c r="AG67" s="25" t="e">
        <f>RBJM($F67:$G70,J67:K70)</f>
        <v>#VALUE!</v>
      </c>
      <c r="AH67" s="25" t="e">
        <f t="shared" si="12"/>
        <v>#DIV/0!</v>
      </c>
      <c r="AI67" s="25"/>
    </row>
    <row r="68" spans="1:35" ht="12" thickBot="1">
      <c r="A68" s="26"/>
      <c r="B68" s="26" t="s">
        <v>57</v>
      </c>
      <c r="C68" s="26">
        <v>27</v>
      </c>
      <c r="D68" s="18">
        <f t="shared" si="13"/>
        <v>0</v>
      </c>
      <c r="E68" s="18">
        <f t="shared" si="14"/>
        <v>0</v>
      </c>
      <c r="F68" s="18">
        <f t="shared" si="15"/>
        <v>0</v>
      </c>
      <c r="G68" s="18">
        <f t="shared" si="16"/>
        <v>0</v>
      </c>
      <c r="H68" s="18">
        <f t="shared" si="17"/>
        <v>0</v>
      </c>
      <c r="I68" s="18">
        <f t="shared" si="18"/>
        <v>0</v>
      </c>
      <c r="J68" s="18">
        <f t="shared" si="19"/>
        <v>0</v>
      </c>
      <c r="K68" s="19">
        <f t="shared" si="20"/>
        <v>0</v>
      </c>
      <c r="L68" s="23">
        <v>13753.864799999999</v>
      </c>
      <c r="M68" s="23">
        <v>42.311199999999999</v>
      </c>
      <c r="N68" s="23">
        <v>46.9818</v>
      </c>
      <c r="O68" s="23">
        <v>46.137900000000002</v>
      </c>
      <c r="P68" s="21"/>
      <c r="Q68" s="21"/>
      <c r="R68" s="21"/>
      <c r="S68" s="21"/>
      <c r="T68" s="21"/>
      <c r="U68" s="22"/>
      <c r="V68" s="23">
        <f t="shared" si="21"/>
        <v>0</v>
      </c>
      <c r="W68" s="27" t="str">
        <f t="shared" ref="W68:W74" si="23">IF(OR(AND(P68="",Q68="",R68="",S68=""),AND(L68=P68,M68=Q68,N68=R68,O68=S68)),"","!")</f>
        <v/>
      </c>
      <c r="X68" s="21"/>
      <c r="Y68" s="21"/>
      <c r="Z68" s="21"/>
      <c r="AA68" s="21"/>
      <c r="AB68" s="21"/>
      <c r="AC68" s="21"/>
      <c r="AD68" s="23">
        <f t="shared" si="22"/>
        <v>0</v>
      </c>
      <c r="AE68" s="28"/>
      <c r="AF68" s="28"/>
      <c r="AG68" s="28"/>
      <c r="AH68" s="25" t="e">
        <f t="shared" si="12"/>
        <v>#DIV/0!</v>
      </c>
      <c r="AI68" s="25"/>
    </row>
    <row r="69" spans="1:35" ht="12" thickBot="1">
      <c r="A69" s="26"/>
      <c r="B69" s="26"/>
      <c r="C69" s="26">
        <v>32</v>
      </c>
      <c r="D69" s="18">
        <f t="shared" si="13"/>
        <v>0</v>
      </c>
      <c r="E69" s="18">
        <f t="shared" si="14"/>
        <v>0</v>
      </c>
      <c r="F69" s="18">
        <f t="shared" si="15"/>
        <v>0</v>
      </c>
      <c r="G69" s="18">
        <f t="shared" si="16"/>
        <v>0</v>
      </c>
      <c r="H69" s="18">
        <f t="shared" si="17"/>
        <v>0</v>
      </c>
      <c r="I69" s="18">
        <f t="shared" si="18"/>
        <v>0</v>
      </c>
      <c r="J69" s="18">
        <f t="shared" si="19"/>
        <v>0</v>
      </c>
      <c r="K69" s="19">
        <f t="shared" si="20"/>
        <v>0</v>
      </c>
      <c r="L69" s="23">
        <v>8487.1407999999992</v>
      </c>
      <c r="M69" s="23">
        <v>39.568399999999997</v>
      </c>
      <c r="N69" s="23">
        <v>45.741</v>
      </c>
      <c r="O69" s="23">
        <v>43.985599999999998</v>
      </c>
      <c r="P69" s="21"/>
      <c r="Q69" s="21"/>
      <c r="R69" s="21"/>
      <c r="S69" s="21"/>
      <c r="T69" s="21"/>
      <c r="U69" s="22"/>
      <c r="V69" s="23">
        <f t="shared" si="21"/>
        <v>0</v>
      </c>
      <c r="W69" s="27" t="str">
        <f t="shared" si="23"/>
        <v/>
      </c>
      <c r="X69" s="21"/>
      <c r="Y69" s="21"/>
      <c r="Z69" s="21"/>
      <c r="AA69" s="21"/>
      <c r="AB69" s="21"/>
      <c r="AC69" s="21"/>
      <c r="AD69" s="23">
        <f t="shared" si="22"/>
        <v>0</v>
      </c>
      <c r="AE69" s="28"/>
      <c r="AF69" s="28"/>
      <c r="AG69" s="28"/>
      <c r="AH69" s="25" t="e">
        <f t="shared" si="12"/>
        <v>#DIV/0!</v>
      </c>
      <c r="AI69" s="25"/>
    </row>
    <row r="70" spans="1:35" ht="12" thickBot="1">
      <c r="A70" s="26"/>
      <c r="B70" s="29"/>
      <c r="C70" s="29">
        <v>37</v>
      </c>
      <c r="D70" s="30">
        <f t="shared" si="13"/>
        <v>0</v>
      </c>
      <c r="E70" s="30">
        <f t="shared" si="14"/>
        <v>0</v>
      </c>
      <c r="F70" s="30">
        <f t="shared" si="15"/>
        <v>0</v>
      </c>
      <c r="G70" s="30">
        <f t="shared" si="16"/>
        <v>0</v>
      </c>
      <c r="H70" s="30">
        <f t="shared" si="17"/>
        <v>0</v>
      </c>
      <c r="I70" s="30">
        <f t="shared" si="18"/>
        <v>0</v>
      </c>
      <c r="J70" s="30">
        <f t="shared" si="19"/>
        <v>0</v>
      </c>
      <c r="K70" s="31">
        <f t="shared" si="20"/>
        <v>0</v>
      </c>
      <c r="L70" s="32">
        <v>5097.7752</v>
      </c>
      <c r="M70" s="32">
        <v>36.5212</v>
      </c>
      <c r="N70" s="32">
        <v>44.222099999999998</v>
      </c>
      <c r="O70" s="32">
        <v>42.212000000000003</v>
      </c>
      <c r="P70" s="33"/>
      <c r="Q70" s="33"/>
      <c r="R70" s="33"/>
      <c r="S70" s="33"/>
      <c r="T70" s="33"/>
      <c r="U70" s="34"/>
      <c r="V70" s="32">
        <f t="shared" si="21"/>
        <v>0</v>
      </c>
      <c r="W70" s="37" t="str">
        <f t="shared" si="23"/>
        <v/>
      </c>
      <c r="X70" s="33"/>
      <c r="Y70" s="33"/>
      <c r="Z70" s="33"/>
      <c r="AA70" s="33"/>
      <c r="AB70" s="33"/>
      <c r="AC70" s="33"/>
      <c r="AD70" s="32">
        <f t="shared" si="22"/>
        <v>0</v>
      </c>
      <c r="AE70" s="29"/>
      <c r="AF70" s="29"/>
      <c r="AG70" s="29"/>
      <c r="AH70" s="25" t="e">
        <f t="shared" si="12"/>
        <v>#DIV/0!</v>
      </c>
      <c r="AI70" s="25"/>
    </row>
    <row r="71" spans="1:35" ht="12" thickBot="1">
      <c r="A71" s="26"/>
      <c r="B71" s="17" t="s">
        <v>58</v>
      </c>
      <c r="C71" s="17">
        <v>22</v>
      </c>
      <c r="D71" s="38">
        <f t="shared" si="13"/>
        <v>0</v>
      </c>
      <c r="E71" s="38">
        <f t="shared" si="14"/>
        <v>0</v>
      </c>
      <c r="F71" s="38">
        <f t="shared" si="15"/>
        <v>0</v>
      </c>
      <c r="G71" s="38">
        <f t="shared" si="16"/>
        <v>0</v>
      </c>
      <c r="H71" s="38">
        <f t="shared" si="17"/>
        <v>0</v>
      </c>
      <c r="I71" s="38">
        <f t="shared" si="18"/>
        <v>0</v>
      </c>
      <c r="J71" s="38">
        <f t="shared" si="19"/>
        <v>0</v>
      </c>
      <c r="K71" s="39">
        <f t="shared" si="20"/>
        <v>0</v>
      </c>
      <c r="L71" s="20">
        <v>24067.865600000001</v>
      </c>
      <c r="M71" s="20">
        <v>44.720100000000002</v>
      </c>
      <c r="N71" s="20">
        <v>48.511600000000001</v>
      </c>
      <c r="O71" s="20">
        <v>48.673200000000001</v>
      </c>
      <c r="P71" s="36"/>
      <c r="Q71" s="36"/>
      <c r="R71" s="36"/>
      <c r="S71" s="36"/>
      <c r="T71" s="36"/>
      <c r="U71" s="22"/>
      <c r="V71" s="20">
        <f t="shared" si="21"/>
        <v>0</v>
      </c>
      <c r="W71" s="24" t="str">
        <f>IF(OR(AND(P71="",Q71="",R71="",S71=""),AND(L71=P71,M71=Q71,N71=R71,O71=S71)),"","!")</f>
        <v/>
      </c>
      <c r="X71" s="36"/>
      <c r="Y71" s="36"/>
      <c r="Z71" s="36"/>
      <c r="AA71" s="36"/>
      <c r="AB71" s="36"/>
      <c r="AC71" s="36"/>
      <c r="AD71" s="20">
        <f t="shared" si="22"/>
        <v>0</v>
      </c>
      <c r="AE71" s="25" t="e">
        <f>RBJM($P71:$Q74,X71:Y74)</f>
        <v>#VALUE!</v>
      </c>
      <c r="AF71" s="25" t="e">
        <f>RBJM($D71:$E74,H71:I74)</f>
        <v>#VALUE!</v>
      </c>
      <c r="AG71" s="25" t="e">
        <f>RBJM($F71:$G74,J71:K74)</f>
        <v>#VALUE!</v>
      </c>
      <c r="AH71" s="25" t="e">
        <f t="shared" si="12"/>
        <v>#DIV/0!</v>
      </c>
      <c r="AI71" s="25"/>
    </row>
    <row r="72" spans="1:35" ht="12" thickBot="1">
      <c r="A72" s="26"/>
      <c r="B72" s="26" t="s">
        <v>59</v>
      </c>
      <c r="C72" s="26">
        <v>27</v>
      </c>
      <c r="D72" s="18">
        <f t="shared" si="13"/>
        <v>0</v>
      </c>
      <c r="E72" s="18">
        <f t="shared" si="14"/>
        <v>0</v>
      </c>
      <c r="F72" s="18">
        <f t="shared" si="15"/>
        <v>0</v>
      </c>
      <c r="G72" s="18">
        <f t="shared" si="16"/>
        <v>0</v>
      </c>
      <c r="H72" s="18">
        <f t="shared" si="17"/>
        <v>0</v>
      </c>
      <c r="I72" s="18">
        <f t="shared" si="18"/>
        <v>0</v>
      </c>
      <c r="J72" s="18">
        <f t="shared" si="19"/>
        <v>0</v>
      </c>
      <c r="K72" s="19">
        <f t="shared" si="20"/>
        <v>0</v>
      </c>
      <c r="L72" s="23">
        <v>14017.9936</v>
      </c>
      <c r="M72" s="23">
        <v>41.974299999999999</v>
      </c>
      <c r="N72" s="23">
        <v>46.7652</v>
      </c>
      <c r="O72" s="23">
        <v>46.870699999999999</v>
      </c>
      <c r="P72" s="21"/>
      <c r="Q72" s="21"/>
      <c r="R72" s="21"/>
      <c r="S72" s="21"/>
      <c r="T72" s="21"/>
      <c r="U72" s="22"/>
      <c r="V72" s="23">
        <f t="shared" si="21"/>
        <v>0</v>
      </c>
      <c r="W72" s="27" t="str">
        <f t="shared" si="23"/>
        <v/>
      </c>
      <c r="X72" s="21"/>
      <c r="Y72" s="21"/>
      <c r="Z72" s="21"/>
      <c r="AA72" s="21"/>
      <c r="AB72" s="21"/>
      <c r="AC72" s="21"/>
      <c r="AD72" s="23">
        <f t="shared" si="22"/>
        <v>0</v>
      </c>
      <c r="AE72" s="28"/>
      <c r="AF72" s="28"/>
      <c r="AG72" s="28"/>
      <c r="AH72" s="25" t="e">
        <f t="shared" si="12"/>
        <v>#DIV/0!</v>
      </c>
      <c r="AI72" s="25"/>
    </row>
    <row r="73" spans="1:35" ht="12" thickBot="1">
      <c r="A73" s="26"/>
      <c r="B73" s="26"/>
      <c r="C73" s="26">
        <v>32</v>
      </c>
      <c r="D73" s="18">
        <f t="shared" si="13"/>
        <v>0</v>
      </c>
      <c r="E73" s="18">
        <f t="shared" si="14"/>
        <v>0</v>
      </c>
      <c r="F73" s="18">
        <f t="shared" si="15"/>
        <v>0</v>
      </c>
      <c r="G73" s="18">
        <f t="shared" si="16"/>
        <v>0</v>
      </c>
      <c r="H73" s="18">
        <f t="shared" si="17"/>
        <v>0</v>
      </c>
      <c r="I73" s="18">
        <f t="shared" si="18"/>
        <v>0</v>
      </c>
      <c r="J73" s="18">
        <f t="shared" si="19"/>
        <v>0</v>
      </c>
      <c r="K73" s="19">
        <f t="shared" si="20"/>
        <v>0</v>
      </c>
      <c r="L73" s="23">
        <v>8052.8407999999999</v>
      </c>
      <c r="M73" s="23">
        <v>39.206000000000003</v>
      </c>
      <c r="N73" s="23">
        <v>45.057200000000002</v>
      </c>
      <c r="O73" s="23">
        <v>44.975499999999997</v>
      </c>
      <c r="P73" s="21"/>
      <c r="Q73" s="21"/>
      <c r="R73" s="21"/>
      <c r="S73" s="21"/>
      <c r="T73" s="21"/>
      <c r="U73" s="22"/>
      <c r="V73" s="23">
        <f t="shared" si="21"/>
        <v>0</v>
      </c>
      <c r="W73" s="27" t="str">
        <f t="shared" si="23"/>
        <v/>
      </c>
      <c r="X73" s="21"/>
      <c r="Y73" s="21"/>
      <c r="Z73" s="21"/>
      <c r="AA73" s="21"/>
      <c r="AB73" s="21"/>
      <c r="AC73" s="21"/>
      <c r="AD73" s="23">
        <f t="shared" si="22"/>
        <v>0</v>
      </c>
      <c r="AE73" s="28"/>
      <c r="AF73" s="28"/>
      <c r="AG73" s="28"/>
      <c r="AH73" s="25" t="e">
        <f t="shared" si="12"/>
        <v>#DIV/0!</v>
      </c>
      <c r="AI73" s="25"/>
    </row>
    <row r="74" spans="1:35" ht="12" thickBot="1">
      <c r="A74" s="29"/>
      <c r="B74" s="29"/>
      <c r="C74" s="29">
        <v>37</v>
      </c>
      <c r="D74" s="46">
        <f t="shared" si="13"/>
        <v>0</v>
      </c>
      <c r="E74" s="46">
        <f t="shared" si="14"/>
        <v>0</v>
      </c>
      <c r="F74" s="46">
        <f t="shared" si="15"/>
        <v>0</v>
      </c>
      <c r="G74" s="46">
        <f t="shared" si="16"/>
        <v>0</v>
      </c>
      <c r="H74" s="46">
        <f t="shared" si="17"/>
        <v>0</v>
      </c>
      <c r="I74" s="46">
        <f t="shared" si="18"/>
        <v>0</v>
      </c>
      <c r="J74" s="46">
        <f t="shared" si="19"/>
        <v>0</v>
      </c>
      <c r="K74" s="47">
        <f t="shared" si="20"/>
        <v>0</v>
      </c>
      <c r="L74" s="32">
        <v>4570.9063999999998</v>
      </c>
      <c r="M74" s="32">
        <v>36.446399999999997</v>
      </c>
      <c r="N74" s="32">
        <v>43.287999999999997</v>
      </c>
      <c r="O74" s="32">
        <v>42.9833</v>
      </c>
      <c r="P74" s="33"/>
      <c r="Q74" s="33"/>
      <c r="R74" s="33"/>
      <c r="S74" s="33"/>
      <c r="T74" s="33"/>
      <c r="U74" s="34"/>
      <c r="V74" s="32">
        <f t="shared" si="21"/>
        <v>0</v>
      </c>
      <c r="W74" s="37" t="str">
        <f t="shared" si="23"/>
        <v/>
      </c>
      <c r="X74" s="33"/>
      <c r="Y74" s="33"/>
      <c r="Z74" s="33"/>
      <c r="AA74" s="33"/>
      <c r="AB74" s="33"/>
      <c r="AC74" s="33"/>
      <c r="AD74" s="32">
        <f t="shared" si="22"/>
        <v>0</v>
      </c>
      <c r="AE74" s="29"/>
      <c r="AF74" s="29"/>
      <c r="AG74" s="29"/>
      <c r="AH74" s="25" t="e">
        <f t="shared" si="12"/>
        <v>#DIV/0!</v>
      </c>
      <c r="AI74" s="25"/>
    </row>
    <row r="75" spans="1:35">
      <c r="B75" s="1" t="s">
        <v>15</v>
      </c>
      <c r="D75" s="48"/>
      <c r="E75" s="49"/>
      <c r="F75" s="49"/>
      <c r="G75" s="50"/>
      <c r="H75" s="50"/>
      <c r="I75" s="50"/>
      <c r="J75" s="50"/>
      <c r="K75" s="50"/>
      <c r="L75" s="50"/>
      <c r="M75" s="50"/>
      <c r="N75" s="50"/>
      <c r="O75" s="50"/>
      <c r="W75" s="51"/>
      <c r="AE75" s="52">
        <f>AVERAGE(AE3,AE7)</f>
        <v>-25.14114326816032</v>
      </c>
      <c r="AF75" s="52">
        <f>AVERAGE(AF3,AF7)</f>
        <v>-27.919240681299762</v>
      </c>
      <c r="AG75" s="52">
        <f>AVERAGE(AG3,AG7)</f>
        <v>-30.896909265755944</v>
      </c>
      <c r="AH75" s="52">
        <f>AVERAGE(AH3,AH7)</f>
        <v>47.589036754495268</v>
      </c>
      <c r="AI75" s="52">
        <f>AVERAGE(AI3,AI7)</f>
        <v>34.03541714066963</v>
      </c>
    </row>
    <row r="76" spans="1:35">
      <c r="B76" s="1" t="s">
        <v>21</v>
      </c>
      <c r="D76" s="53"/>
      <c r="E76" s="49"/>
      <c r="F76" s="49"/>
      <c r="G76" s="50"/>
      <c r="H76" s="50"/>
      <c r="I76" s="50"/>
      <c r="J76" s="50"/>
      <c r="K76" s="50"/>
      <c r="L76" s="50"/>
      <c r="M76" s="50"/>
      <c r="N76" s="50"/>
      <c r="O76" s="50"/>
      <c r="W76" s="51"/>
      <c r="AE76" s="52" t="e">
        <f>AVERAGE(AE11,AE15,AE19,AE23,AE27)</f>
        <v>#VALUE!</v>
      </c>
      <c r="AF76" s="52" t="e">
        <f>AVERAGE(AF11,AF15,AF19,AF23,AF27)</f>
        <v>#VALUE!</v>
      </c>
      <c r="AG76" s="52" t="e">
        <f>AVERAGE(AG11,AG15,AG19,AG23,AG27)</f>
        <v>#VALUE!</v>
      </c>
      <c r="AH76" s="52" t="e">
        <f>AVERAGE(AH11,AH15,AH19,AH23,AH27)</f>
        <v>#DIV/0!</v>
      </c>
      <c r="AI76" s="52" t="e">
        <f>AVERAGE(AI11,AI15,AI19,AI23,AI27)</f>
        <v>#DIV/0!</v>
      </c>
    </row>
    <row r="77" spans="1:35">
      <c r="B77" s="1" t="s">
        <v>33</v>
      </c>
      <c r="D77" s="53"/>
      <c r="E77" s="49"/>
      <c r="F77" s="49"/>
      <c r="G77" s="50"/>
      <c r="H77" s="50"/>
      <c r="I77" s="50"/>
      <c r="J77" s="50"/>
      <c r="K77" s="50"/>
      <c r="L77" s="50"/>
      <c r="M77" s="50"/>
      <c r="N77" s="50"/>
      <c r="O77" s="50"/>
      <c r="W77" s="51"/>
      <c r="AE77" s="52" t="e">
        <f>AVERAGE(AE31,AE35,AE39,AE43)</f>
        <v>#VALUE!</v>
      </c>
      <c r="AF77" s="52" t="e">
        <f>AVERAGE(AF31,AF35,AF39,AF43)</f>
        <v>#VALUE!</v>
      </c>
      <c r="AG77" s="52" t="e">
        <f>AVERAGE(AG31,AG35,AG39,AG43)</f>
        <v>#VALUE!</v>
      </c>
      <c r="AH77" s="52">
        <f>AVERAGE(AH31,AH35,AH39,AH43)</f>
        <v>24.175533170643831</v>
      </c>
      <c r="AI77" s="52" t="e">
        <f>AVERAGE(AI31,AI35,AI39,AI43)</f>
        <v>#DIV/0!</v>
      </c>
    </row>
    <row r="78" spans="1:35">
      <c r="B78" s="1" t="s">
        <v>43</v>
      </c>
      <c r="D78" s="53"/>
      <c r="E78" s="49"/>
      <c r="F78" s="49"/>
      <c r="G78" s="50"/>
      <c r="H78" s="50"/>
      <c r="I78" s="50"/>
      <c r="J78" s="50"/>
      <c r="K78" s="50"/>
      <c r="L78" s="50"/>
      <c r="M78" s="50"/>
      <c r="N78" s="50"/>
      <c r="O78" s="50"/>
      <c r="W78" s="51"/>
      <c r="AE78" s="52" t="e">
        <f>AVERAGE(AE47,AE55,AE51,AE59)</f>
        <v>#VALUE!</v>
      </c>
      <c r="AF78" s="52" t="e">
        <f>AVERAGE(AF47,AF55,AF51,AF59)</f>
        <v>#VALUE!</v>
      </c>
      <c r="AG78" s="52" t="e">
        <f>AVERAGE(AG47,AG55,AG51,AG59)</f>
        <v>#VALUE!</v>
      </c>
      <c r="AH78" s="52" t="e">
        <f>AVERAGE(AH47,AH55,AH51,AH59)</f>
        <v>#DIV/0!</v>
      </c>
      <c r="AI78" s="52" t="e">
        <f>AVERAGE(AI47,AI55,AI51,AI59)</f>
        <v>#DIV/0!</v>
      </c>
    </row>
    <row r="79" spans="1:35">
      <c r="B79" s="1" t="s">
        <v>60</v>
      </c>
      <c r="D79" s="53"/>
      <c r="E79" s="49"/>
      <c r="F79" s="49"/>
      <c r="G79" s="50"/>
      <c r="H79" s="50"/>
      <c r="I79" s="50"/>
      <c r="J79" s="50"/>
      <c r="K79" s="50"/>
      <c r="L79" s="50"/>
      <c r="M79" s="50"/>
      <c r="N79" s="50"/>
      <c r="O79" s="50"/>
      <c r="W79" s="51"/>
      <c r="AE79" s="52" t="e">
        <f>AVERAGE(AE63,AE67,AE71)</f>
        <v>#VALUE!</v>
      </c>
      <c r="AF79" s="52" t="e">
        <f>AVERAGE(AF63,AF67,AF71)</f>
        <v>#VALUE!</v>
      </c>
      <c r="AG79" s="52" t="e">
        <f>AVERAGE(AG63,AG67,AG71)</f>
        <v>#VALUE!</v>
      </c>
      <c r="AH79" s="52" t="e">
        <f>AVERAGE(AH63,AH67,AH71)</f>
        <v>#DIV/0!</v>
      </c>
      <c r="AI79" s="52" t="e">
        <f>AVERAGE(AI63,AI67,AI71)</f>
        <v>#DIV/0!</v>
      </c>
    </row>
    <row r="80" spans="1:35">
      <c r="B80" s="54" t="s">
        <v>61</v>
      </c>
      <c r="C80" s="54"/>
      <c r="D80" s="55"/>
      <c r="E80" s="56"/>
      <c r="F80" s="57"/>
      <c r="G80" s="56"/>
      <c r="H80" s="56"/>
      <c r="I80" s="56"/>
      <c r="J80" s="56"/>
      <c r="K80" s="56"/>
      <c r="L80" s="56"/>
      <c r="M80" s="56"/>
      <c r="N80" s="56"/>
      <c r="O80" s="56"/>
      <c r="P80" s="54"/>
      <c r="Q80" s="54"/>
      <c r="R80" s="54"/>
      <c r="S80" s="54"/>
      <c r="T80" s="54"/>
      <c r="U80" s="54"/>
      <c r="V80" s="54"/>
      <c r="W80" s="58"/>
      <c r="X80" s="54"/>
      <c r="Y80" s="54"/>
      <c r="Z80" s="54"/>
      <c r="AA80" s="54"/>
      <c r="AB80" s="54"/>
      <c r="AC80" s="54"/>
      <c r="AD80" s="54"/>
      <c r="AE80" s="59" t="e">
        <f>AVERAGE(AE3,AE7,AE11,AE15,AE19,AE23,AE27,AE31,AE35,AE39,AE43,AE47,AE55,AE51,AE59,AE63,AE67,AE71)</f>
        <v>#VALUE!</v>
      </c>
      <c r="AF80" s="59" t="e">
        <f>AVERAGE(AF3,AF7,AF11,AF15,AF19,AF23,AF27,AF31,AF35,AF39,AF43,AF47,AF55,AF51,AF59,AF63,AF67,AF71)</f>
        <v>#VALUE!</v>
      </c>
      <c r="AG80" s="59" t="e">
        <f>AVERAGE(AG3,AG7,AG11,AG15,AG19,AG23,AG27,AG31,AG35,AG39,AG43,AG47,AG55,AG51,AG59,AG63,AG67,AG71)</f>
        <v>#VALUE!</v>
      </c>
      <c r="AH80" s="59" t="e">
        <f>AVERAGE(AH3,AH7,AH11,AH15,AH19,AH23,AH27,AH31,AH35,AH39,AH43,AH47,AH55,AH51,AH59,AH63,AH67,AH71)</f>
        <v>#DIV/0!</v>
      </c>
      <c r="AI80" s="59">
        <f>AVERAGE(AI3,AI7,AI11,AI15,AI19,AI23,AI27,AI31,AI35,AI39,AI43,AI47,AI55,AI51,AI59,AI63,AI67,AI71)</f>
        <v>34.03541714066963</v>
      </c>
    </row>
    <row r="81" spans="2:30">
      <c r="B81" s="1" t="s">
        <v>62</v>
      </c>
      <c r="T81" s="52"/>
      <c r="U81" s="52" t="e">
        <f>GEOMEAN(U3:U74)</f>
        <v>#NUM!</v>
      </c>
      <c r="V81" s="52" t="e">
        <f>GEOMEAN(V3:V74)</f>
        <v>#NUM!</v>
      </c>
      <c r="W81" s="52"/>
      <c r="X81" s="52"/>
      <c r="Y81" s="52"/>
      <c r="Z81" s="52"/>
      <c r="AA81" s="52"/>
      <c r="AB81" s="52"/>
      <c r="AC81" s="52">
        <f>GEOMEAN(AC3:AC74)</f>
        <v>41.094000000000001</v>
      </c>
      <c r="AD81" s="52" t="e">
        <f>GEOMEAN(AD3:AD74)</f>
        <v>#NUM!</v>
      </c>
    </row>
    <row r="82" spans="2:30">
      <c r="B82" s="1" t="s">
        <v>63</v>
      </c>
      <c r="AB82" s="63"/>
      <c r="AC82" s="63" t="e">
        <f>AC81/U81</f>
        <v>#NUM!</v>
      </c>
      <c r="AD82" s="63" t="e">
        <f>AD81/V81</f>
        <v>#NUM!</v>
      </c>
    </row>
    <row r="83" spans="2:30">
      <c r="B83" s="1" t="s">
        <v>64</v>
      </c>
      <c r="T83" s="51"/>
      <c r="U83" s="51">
        <f>SUM(U3:U74)/3600</f>
        <v>0</v>
      </c>
      <c r="V83" s="51">
        <f>SUM(V3:V74)</f>
        <v>7.1874999999999981E-2</v>
      </c>
      <c r="AB83" s="51"/>
      <c r="AC83" s="51">
        <f>SUM(AC3:AC74)/3600</f>
        <v>1.1415E-2</v>
      </c>
      <c r="AD83" s="51">
        <f>SUM(AD3:AD74)</f>
        <v>2.2592966666666672</v>
      </c>
    </row>
  </sheetData>
  <mergeCells count="3">
    <mergeCell ref="L1:O1"/>
    <mergeCell ref="P1:W1"/>
    <mergeCell ref="X1:AE1"/>
  </mergeCells>
  <phoneticPr fontId="2" type="noConversion"/>
  <conditionalFormatting sqref="AE3:AG80">
    <cfRule type="cellIs" dxfId="41" priority="22" stopIfTrue="1" operator="between">
      <formula>-1</formula>
      <formula>1</formula>
    </cfRule>
    <cfRule type="cellIs" dxfId="40" priority="23" stopIfTrue="1" operator="lessThan">
      <formula>-3</formula>
    </cfRule>
    <cfRule type="cellIs" dxfId="39" priority="24" stopIfTrue="1" operator="greaterThan">
      <formula>3</formula>
    </cfRule>
  </conditionalFormatting>
  <conditionalFormatting sqref="AH3:AH6 AH75:AH80">
    <cfRule type="cellIs" dxfId="38" priority="19" stopIfTrue="1" operator="between">
      <formula>-1</formula>
      <formula>1</formula>
    </cfRule>
    <cfRule type="cellIs" dxfId="37" priority="20" stopIfTrue="1" operator="lessThan">
      <formula>-3</formula>
    </cfRule>
    <cfRule type="cellIs" dxfId="36" priority="21" stopIfTrue="1" operator="greaterThan">
      <formula>3</formula>
    </cfRule>
  </conditionalFormatting>
  <conditionalFormatting sqref="AI11:AI74">
    <cfRule type="cellIs" dxfId="35" priority="1" stopIfTrue="1" operator="between">
      <formula>-1</formula>
      <formula>1</formula>
    </cfRule>
    <cfRule type="cellIs" dxfId="34" priority="2" stopIfTrue="1" operator="lessThan">
      <formula>-3</formula>
    </cfRule>
    <cfRule type="cellIs" dxfId="33" priority="3" stopIfTrue="1" operator="greaterThan">
      <formula>3</formula>
    </cfRule>
  </conditionalFormatting>
  <conditionalFormatting sqref="AI3:AI6 AI75:AI80">
    <cfRule type="cellIs" dxfId="32" priority="13" stopIfTrue="1" operator="between">
      <formula>-1</formula>
      <formula>1</formula>
    </cfRule>
    <cfRule type="cellIs" dxfId="31" priority="14" stopIfTrue="1" operator="lessThan">
      <formula>-3</formula>
    </cfRule>
    <cfRule type="cellIs" dxfId="30" priority="15" stopIfTrue="1" operator="greaterThan">
      <formula>3</formula>
    </cfRule>
  </conditionalFormatting>
  <conditionalFormatting sqref="AH7:AH10">
    <cfRule type="cellIs" dxfId="29" priority="10" stopIfTrue="1" operator="between">
      <formula>-1</formula>
      <formula>1</formula>
    </cfRule>
    <cfRule type="cellIs" dxfId="28" priority="11" stopIfTrue="1" operator="lessThan">
      <formula>-3</formula>
    </cfRule>
    <cfRule type="cellIs" dxfId="27" priority="12" stopIfTrue="1" operator="greaterThan">
      <formula>3</formula>
    </cfRule>
  </conditionalFormatting>
  <conditionalFormatting sqref="AI7:AI10">
    <cfRule type="cellIs" dxfId="26" priority="7" stopIfTrue="1" operator="between">
      <formula>-1</formula>
      <formula>1</formula>
    </cfRule>
    <cfRule type="cellIs" dxfId="25" priority="8" stopIfTrue="1" operator="lessThan">
      <formula>-3</formula>
    </cfRule>
    <cfRule type="cellIs" dxfId="24" priority="9" stopIfTrue="1" operator="greaterThan">
      <formula>3</formula>
    </cfRule>
  </conditionalFormatting>
  <conditionalFormatting sqref="AH11:AH74">
    <cfRule type="cellIs" dxfId="23" priority="4" stopIfTrue="1" operator="between">
      <formula>-1</formula>
      <formula>1</formula>
    </cfRule>
    <cfRule type="cellIs" dxfId="22" priority="5" stopIfTrue="1" operator="lessThan">
      <formula>-3</formula>
    </cfRule>
    <cfRule type="cellIs" dxfId="21" priority="6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881F-CC98-4672-B477-EFC266ED4B1F}">
  <sheetPr codeName="Sheet3"/>
  <dimension ref="A1:AI83"/>
  <sheetViews>
    <sheetView workbookViewId="0">
      <selection activeCell="AI3" sqref="AI3"/>
    </sheetView>
  </sheetViews>
  <sheetFormatPr defaultRowHeight="11.25"/>
  <cols>
    <col min="1" max="1" width="6.25" style="1" bestFit="1" customWidth="1"/>
    <col min="2" max="2" width="11.125" style="1" bestFit="1" customWidth="1"/>
    <col min="3" max="3" width="6.25" style="1" customWidth="1"/>
    <col min="4" max="4" width="7.5" style="60" hidden="1" customWidth="1"/>
    <col min="5" max="5" width="5.625" style="61" hidden="1" customWidth="1"/>
    <col min="6" max="6" width="7.5" style="62" hidden="1" customWidth="1"/>
    <col min="7" max="7" width="5.625" style="61" hidden="1" customWidth="1"/>
    <col min="8" max="8" width="7.5" style="61" hidden="1" customWidth="1"/>
    <col min="9" max="9" width="5.625" style="61" hidden="1" customWidth="1"/>
    <col min="10" max="10" width="7.5" style="61" hidden="1" customWidth="1"/>
    <col min="11" max="14" width="5.625" style="61" hidden="1" customWidth="1"/>
    <col min="15" max="15" width="0.125" style="61" customWidth="1"/>
    <col min="16" max="16" width="9" style="1"/>
    <col min="17" max="17" width="5.625" style="1" bestFit="1" customWidth="1"/>
    <col min="18" max="18" width="5.625" style="1" customWidth="1"/>
    <col min="19" max="19" width="5.625" style="1" bestFit="1" customWidth="1"/>
    <col min="20" max="20" width="9" style="1"/>
    <col min="21" max="22" width="0" style="1" hidden="1" customWidth="1"/>
    <col min="23" max="23" width="6.875" style="1" hidden="1" customWidth="1"/>
    <col min="24" max="24" width="9" style="1"/>
    <col min="25" max="27" width="5.625" style="1" customWidth="1"/>
    <col min="28" max="28" width="7.5" style="1" customWidth="1"/>
    <col min="29" max="30" width="0" style="1" hidden="1" customWidth="1"/>
    <col min="31" max="34" width="9" style="1"/>
    <col min="35" max="35" width="12.125" style="1" bestFit="1" customWidth="1"/>
    <col min="36" max="256" width="9" style="1"/>
    <col min="257" max="257" width="6.25" style="1" bestFit="1" customWidth="1"/>
    <col min="258" max="258" width="11.125" style="1" bestFit="1" customWidth="1"/>
    <col min="259" max="259" width="6.25" style="1" customWidth="1"/>
    <col min="260" max="270" width="0" style="1" hidden="1" customWidth="1"/>
    <col min="271" max="271" width="0.125" style="1" customWidth="1"/>
    <col min="272" max="272" width="9" style="1"/>
    <col min="273" max="273" width="5.625" style="1" bestFit="1" customWidth="1"/>
    <col min="274" max="274" width="5.625" style="1" customWidth="1"/>
    <col min="275" max="275" width="5.625" style="1" bestFit="1" customWidth="1"/>
    <col min="276" max="278" width="9" style="1"/>
    <col min="279" max="279" width="6.875" style="1" bestFit="1" customWidth="1"/>
    <col min="280" max="280" width="9" style="1"/>
    <col min="281" max="283" width="5.625" style="1" customWidth="1"/>
    <col min="284" max="284" width="7.5" style="1" customWidth="1"/>
    <col min="285" max="512" width="9" style="1"/>
    <col min="513" max="513" width="6.25" style="1" bestFit="1" customWidth="1"/>
    <col min="514" max="514" width="11.125" style="1" bestFit="1" customWidth="1"/>
    <col min="515" max="515" width="6.25" style="1" customWidth="1"/>
    <col min="516" max="526" width="0" style="1" hidden="1" customWidth="1"/>
    <col min="527" max="527" width="0.125" style="1" customWidth="1"/>
    <col min="528" max="528" width="9" style="1"/>
    <col min="529" max="529" width="5.625" style="1" bestFit="1" customWidth="1"/>
    <col min="530" max="530" width="5.625" style="1" customWidth="1"/>
    <col min="531" max="531" width="5.625" style="1" bestFit="1" customWidth="1"/>
    <col min="532" max="534" width="9" style="1"/>
    <col min="535" max="535" width="6.875" style="1" bestFit="1" customWidth="1"/>
    <col min="536" max="536" width="9" style="1"/>
    <col min="537" max="539" width="5.625" style="1" customWidth="1"/>
    <col min="540" max="540" width="7.5" style="1" customWidth="1"/>
    <col min="541" max="768" width="9" style="1"/>
    <col min="769" max="769" width="6.25" style="1" bestFit="1" customWidth="1"/>
    <col min="770" max="770" width="11.125" style="1" bestFit="1" customWidth="1"/>
    <col min="771" max="771" width="6.25" style="1" customWidth="1"/>
    <col min="772" max="782" width="0" style="1" hidden="1" customWidth="1"/>
    <col min="783" max="783" width="0.125" style="1" customWidth="1"/>
    <col min="784" max="784" width="9" style="1"/>
    <col min="785" max="785" width="5.625" style="1" bestFit="1" customWidth="1"/>
    <col min="786" max="786" width="5.625" style="1" customWidth="1"/>
    <col min="787" max="787" width="5.625" style="1" bestFit="1" customWidth="1"/>
    <col min="788" max="790" width="9" style="1"/>
    <col min="791" max="791" width="6.875" style="1" bestFit="1" customWidth="1"/>
    <col min="792" max="792" width="9" style="1"/>
    <col min="793" max="795" width="5.625" style="1" customWidth="1"/>
    <col min="796" max="796" width="7.5" style="1" customWidth="1"/>
    <col min="797" max="1024" width="9" style="1"/>
    <col min="1025" max="1025" width="6.25" style="1" bestFit="1" customWidth="1"/>
    <col min="1026" max="1026" width="11.125" style="1" bestFit="1" customWidth="1"/>
    <col min="1027" max="1027" width="6.25" style="1" customWidth="1"/>
    <col min="1028" max="1038" width="0" style="1" hidden="1" customWidth="1"/>
    <col min="1039" max="1039" width="0.125" style="1" customWidth="1"/>
    <col min="1040" max="1040" width="9" style="1"/>
    <col min="1041" max="1041" width="5.625" style="1" bestFit="1" customWidth="1"/>
    <col min="1042" max="1042" width="5.625" style="1" customWidth="1"/>
    <col min="1043" max="1043" width="5.625" style="1" bestFit="1" customWidth="1"/>
    <col min="1044" max="1046" width="9" style="1"/>
    <col min="1047" max="1047" width="6.875" style="1" bestFit="1" customWidth="1"/>
    <col min="1048" max="1048" width="9" style="1"/>
    <col min="1049" max="1051" width="5.625" style="1" customWidth="1"/>
    <col min="1052" max="1052" width="7.5" style="1" customWidth="1"/>
    <col min="1053" max="1280" width="9" style="1"/>
    <col min="1281" max="1281" width="6.25" style="1" bestFit="1" customWidth="1"/>
    <col min="1282" max="1282" width="11.125" style="1" bestFit="1" customWidth="1"/>
    <col min="1283" max="1283" width="6.25" style="1" customWidth="1"/>
    <col min="1284" max="1294" width="0" style="1" hidden="1" customWidth="1"/>
    <col min="1295" max="1295" width="0.125" style="1" customWidth="1"/>
    <col min="1296" max="1296" width="9" style="1"/>
    <col min="1297" max="1297" width="5.625" style="1" bestFit="1" customWidth="1"/>
    <col min="1298" max="1298" width="5.625" style="1" customWidth="1"/>
    <col min="1299" max="1299" width="5.625" style="1" bestFit="1" customWidth="1"/>
    <col min="1300" max="1302" width="9" style="1"/>
    <col min="1303" max="1303" width="6.875" style="1" bestFit="1" customWidth="1"/>
    <col min="1304" max="1304" width="9" style="1"/>
    <col min="1305" max="1307" width="5.625" style="1" customWidth="1"/>
    <col min="1308" max="1308" width="7.5" style="1" customWidth="1"/>
    <col min="1309" max="1536" width="9" style="1"/>
    <col min="1537" max="1537" width="6.25" style="1" bestFit="1" customWidth="1"/>
    <col min="1538" max="1538" width="11.125" style="1" bestFit="1" customWidth="1"/>
    <col min="1539" max="1539" width="6.25" style="1" customWidth="1"/>
    <col min="1540" max="1550" width="0" style="1" hidden="1" customWidth="1"/>
    <col min="1551" max="1551" width="0.125" style="1" customWidth="1"/>
    <col min="1552" max="1552" width="9" style="1"/>
    <col min="1553" max="1553" width="5.625" style="1" bestFit="1" customWidth="1"/>
    <col min="1554" max="1554" width="5.625" style="1" customWidth="1"/>
    <col min="1555" max="1555" width="5.625" style="1" bestFit="1" customWidth="1"/>
    <col min="1556" max="1558" width="9" style="1"/>
    <col min="1559" max="1559" width="6.875" style="1" bestFit="1" customWidth="1"/>
    <col min="1560" max="1560" width="9" style="1"/>
    <col min="1561" max="1563" width="5.625" style="1" customWidth="1"/>
    <col min="1564" max="1564" width="7.5" style="1" customWidth="1"/>
    <col min="1565" max="1792" width="9" style="1"/>
    <col min="1793" max="1793" width="6.25" style="1" bestFit="1" customWidth="1"/>
    <col min="1794" max="1794" width="11.125" style="1" bestFit="1" customWidth="1"/>
    <col min="1795" max="1795" width="6.25" style="1" customWidth="1"/>
    <col min="1796" max="1806" width="0" style="1" hidden="1" customWidth="1"/>
    <col min="1807" max="1807" width="0.125" style="1" customWidth="1"/>
    <col min="1808" max="1808" width="9" style="1"/>
    <col min="1809" max="1809" width="5.625" style="1" bestFit="1" customWidth="1"/>
    <col min="1810" max="1810" width="5.625" style="1" customWidth="1"/>
    <col min="1811" max="1811" width="5.625" style="1" bestFit="1" customWidth="1"/>
    <col min="1812" max="1814" width="9" style="1"/>
    <col min="1815" max="1815" width="6.875" style="1" bestFit="1" customWidth="1"/>
    <col min="1816" max="1816" width="9" style="1"/>
    <col min="1817" max="1819" width="5.625" style="1" customWidth="1"/>
    <col min="1820" max="1820" width="7.5" style="1" customWidth="1"/>
    <col min="1821" max="2048" width="9" style="1"/>
    <col min="2049" max="2049" width="6.25" style="1" bestFit="1" customWidth="1"/>
    <col min="2050" max="2050" width="11.125" style="1" bestFit="1" customWidth="1"/>
    <col min="2051" max="2051" width="6.25" style="1" customWidth="1"/>
    <col min="2052" max="2062" width="0" style="1" hidden="1" customWidth="1"/>
    <col min="2063" max="2063" width="0.125" style="1" customWidth="1"/>
    <col min="2064" max="2064" width="9" style="1"/>
    <col min="2065" max="2065" width="5.625" style="1" bestFit="1" customWidth="1"/>
    <col min="2066" max="2066" width="5.625" style="1" customWidth="1"/>
    <col min="2067" max="2067" width="5.625" style="1" bestFit="1" customWidth="1"/>
    <col min="2068" max="2070" width="9" style="1"/>
    <col min="2071" max="2071" width="6.875" style="1" bestFit="1" customWidth="1"/>
    <col min="2072" max="2072" width="9" style="1"/>
    <col min="2073" max="2075" width="5.625" style="1" customWidth="1"/>
    <col min="2076" max="2076" width="7.5" style="1" customWidth="1"/>
    <col min="2077" max="2304" width="9" style="1"/>
    <col min="2305" max="2305" width="6.25" style="1" bestFit="1" customWidth="1"/>
    <col min="2306" max="2306" width="11.125" style="1" bestFit="1" customWidth="1"/>
    <col min="2307" max="2307" width="6.25" style="1" customWidth="1"/>
    <col min="2308" max="2318" width="0" style="1" hidden="1" customWidth="1"/>
    <col min="2319" max="2319" width="0.125" style="1" customWidth="1"/>
    <col min="2320" max="2320" width="9" style="1"/>
    <col min="2321" max="2321" width="5.625" style="1" bestFit="1" customWidth="1"/>
    <col min="2322" max="2322" width="5.625" style="1" customWidth="1"/>
    <col min="2323" max="2323" width="5.625" style="1" bestFit="1" customWidth="1"/>
    <col min="2324" max="2326" width="9" style="1"/>
    <col min="2327" max="2327" width="6.875" style="1" bestFit="1" customWidth="1"/>
    <col min="2328" max="2328" width="9" style="1"/>
    <col min="2329" max="2331" width="5.625" style="1" customWidth="1"/>
    <col min="2332" max="2332" width="7.5" style="1" customWidth="1"/>
    <col min="2333" max="2560" width="9" style="1"/>
    <col min="2561" max="2561" width="6.25" style="1" bestFit="1" customWidth="1"/>
    <col min="2562" max="2562" width="11.125" style="1" bestFit="1" customWidth="1"/>
    <col min="2563" max="2563" width="6.25" style="1" customWidth="1"/>
    <col min="2564" max="2574" width="0" style="1" hidden="1" customWidth="1"/>
    <col min="2575" max="2575" width="0.125" style="1" customWidth="1"/>
    <col min="2576" max="2576" width="9" style="1"/>
    <col min="2577" max="2577" width="5.625" style="1" bestFit="1" customWidth="1"/>
    <col min="2578" max="2578" width="5.625" style="1" customWidth="1"/>
    <col min="2579" max="2579" width="5.625" style="1" bestFit="1" customWidth="1"/>
    <col min="2580" max="2582" width="9" style="1"/>
    <col min="2583" max="2583" width="6.875" style="1" bestFit="1" customWidth="1"/>
    <col min="2584" max="2584" width="9" style="1"/>
    <col min="2585" max="2587" width="5.625" style="1" customWidth="1"/>
    <col min="2588" max="2588" width="7.5" style="1" customWidth="1"/>
    <col min="2589" max="2816" width="9" style="1"/>
    <col min="2817" max="2817" width="6.25" style="1" bestFit="1" customWidth="1"/>
    <col min="2818" max="2818" width="11.125" style="1" bestFit="1" customWidth="1"/>
    <col min="2819" max="2819" width="6.25" style="1" customWidth="1"/>
    <col min="2820" max="2830" width="0" style="1" hidden="1" customWidth="1"/>
    <col min="2831" max="2831" width="0.125" style="1" customWidth="1"/>
    <col min="2832" max="2832" width="9" style="1"/>
    <col min="2833" max="2833" width="5.625" style="1" bestFit="1" customWidth="1"/>
    <col min="2834" max="2834" width="5.625" style="1" customWidth="1"/>
    <col min="2835" max="2835" width="5.625" style="1" bestFit="1" customWidth="1"/>
    <col min="2836" max="2838" width="9" style="1"/>
    <col min="2839" max="2839" width="6.875" style="1" bestFit="1" customWidth="1"/>
    <col min="2840" max="2840" width="9" style="1"/>
    <col min="2841" max="2843" width="5.625" style="1" customWidth="1"/>
    <col min="2844" max="2844" width="7.5" style="1" customWidth="1"/>
    <col min="2845" max="3072" width="9" style="1"/>
    <col min="3073" max="3073" width="6.25" style="1" bestFit="1" customWidth="1"/>
    <col min="3074" max="3074" width="11.125" style="1" bestFit="1" customWidth="1"/>
    <col min="3075" max="3075" width="6.25" style="1" customWidth="1"/>
    <col min="3076" max="3086" width="0" style="1" hidden="1" customWidth="1"/>
    <col min="3087" max="3087" width="0.125" style="1" customWidth="1"/>
    <col min="3088" max="3088" width="9" style="1"/>
    <col min="3089" max="3089" width="5.625" style="1" bestFit="1" customWidth="1"/>
    <col min="3090" max="3090" width="5.625" style="1" customWidth="1"/>
    <col min="3091" max="3091" width="5.625" style="1" bestFit="1" customWidth="1"/>
    <col min="3092" max="3094" width="9" style="1"/>
    <col min="3095" max="3095" width="6.875" style="1" bestFit="1" customWidth="1"/>
    <col min="3096" max="3096" width="9" style="1"/>
    <col min="3097" max="3099" width="5.625" style="1" customWidth="1"/>
    <col min="3100" max="3100" width="7.5" style="1" customWidth="1"/>
    <col min="3101" max="3328" width="9" style="1"/>
    <col min="3329" max="3329" width="6.25" style="1" bestFit="1" customWidth="1"/>
    <col min="3330" max="3330" width="11.125" style="1" bestFit="1" customWidth="1"/>
    <col min="3331" max="3331" width="6.25" style="1" customWidth="1"/>
    <col min="3332" max="3342" width="0" style="1" hidden="1" customWidth="1"/>
    <col min="3343" max="3343" width="0.125" style="1" customWidth="1"/>
    <col min="3344" max="3344" width="9" style="1"/>
    <col min="3345" max="3345" width="5.625" style="1" bestFit="1" customWidth="1"/>
    <col min="3346" max="3346" width="5.625" style="1" customWidth="1"/>
    <col min="3347" max="3347" width="5.625" style="1" bestFit="1" customWidth="1"/>
    <col min="3348" max="3350" width="9" style="1"/>
    <col min="3351" max="3351" width="6.875" style="1" bestFit="1" customWidth="1"/>
    <col min="3352" max="3352" width="9" style="1"/>
    <col min="3353" max="3355" width="5.625" style="1" customWidth="1"/>
    <col min="3356" max="3356" width="7.5" style="1" customWidth="1"/>
    <col min="3357" max="3584" width="9" style="1"/>
    <col min="3585" max="3585" width="6.25" style="1" bestFit="1" customWidth="1"/>
    <col min="3586" max="3586" width="11.125" style="1" bestFit="1" customWidth="1"/>
    <col min="3587" max="3587" width="6.25" style="1" customWidth="1"/>
    <col min="3588" max="3598" width="0" style="1" hidden="1" customWidth="1"/>
    <col min="3599" max="3599" width="0.125" style="1" customWidth="1"/>
    <col min="3600" max="3600" width="9" style="1"/>
    <col min="3601" max="3601" width="5.625" style="1" bestFit="1" customWidth="1"/>
    <col min="3602" max="3602" width="5.625" style="1" customWidth="1"/>
    <col min="3603" max="3603" width="5.625" style="1" bestFit="1" customWidth="1"/>
    <col min="3604" max="3606" width="9" style="1"/>
    <col min="3607" max="3607" width="6.875" style="1" bestFit="1" customWidth="1"/>
    <col min="3608" max="3608" width="9" style="1"/>
    <col min="3609" max="3611" width="5.625" style="1" customWidth="1"/>
    <col min="3612" max="3612" width="7.5" style="1" customWidth="1"/>
    <col min="3613" max="3840" width="9" style="1"/>
    <col min="3841" max="3841" width="6.25" style="1" bestFit="1" customWidth="1"/>
    <col min="3842" max="3842" width="11.125" style="1" bestFit="1" customWidth="1"/>
    <col min="3843" max="3843" width="6.25" style="1" customWidth="1"/>
    <col min="3844" max="3854" width="0" style="1" hidden="1" customWidth="1"/>
    <col min="3855" max="3855" width="0.125" style="1" customWidth="1"/>
    <col min="3856" max="3856" width="9" style="1"/>
    <col min="3857" max="3857" width="5.625" style="1" bestFit="1" customWidth="1"/>
    <col min="3858" max="3858" width="5.625" style="1" customWidth="1"/>
    <col min="3859" max="3859" width="5.625" style="1" bestFit="1" customWidth="1"/>
    <col min="3860" max="3862" width="9" style="1"/>
    <col min="3863" max="3863" width="6.875" style="1" bestFit="1" customWidth="1"/>
    <col min="3864" max="3864" width="9" style="1"/>
    <col min="3865" max="3867" width="5.625" style="1" customWidth="1"/>
    <col min="3868" max="3868" width="7.5" style="1" customWidth="1"/>
    <col min="3869" max="4096" width="9" style="1"/>
    <col min="4097" max="4097" width="6.25" style="1" bestFit="1" customWidth="1"/>
    <col min="4098" max="4098" width="11.125" style="1" bestFit="1" customWidth="1"/>
    <col min="4099" max="4099" width="6.25" style="1" customWidth="1"/>
    <col min="4100" max="4110" width="0" style="1" hidden="1" customWidth="1"/>
    <col min="4111" max="4111" width="0.125" style="1" customWidth="1"/>
    <col min="4112" max="4112" width="9" style="1"/>
    <col min="4113" max="4113" width="5.625" style="1" bestFit="1" customWidth="1"/>
    <col min="4114" max="4114" width="5.625" style="1" customWidth="1"/>
    <col min="4115" max="4115" width="5.625" style="1" bestFit="1" customWidth="1"/>
    <col min="4116" max="4118" width="9" style="1"/>
    <col min="4119" max="4119" width="6.875" style="1" bestFit="1" customWidth="1"/>
    <col min="4120" max="4120" width="9" style="1"/>
    <col min="4121" max="4123" width="5.625" style="1" customWidth="1"/>
    <col min="4124" max="4124" width="7.5" style="1" customWidth="1"/>
    <col min="4125" max="4352" width="9" style="1"/>
    <col min="4353" max="4353" width="6.25" style="1" bestFit="1" customWidth="1"/>
    <col min="4354" max="4354" width="11.125" style="1" bestFit="1" customWidth="1"/>
    <col min="4355" max="4355" width="6.25" style="1" customWidth="1"/>
    <col min="4356" max="4366" width="0" style="1" hidden="1" customWidth="1"/>
    <col min="4367" max="4367" width="0.125" style="1" customWidth="1"/>
    <col min="4368" max="4368" width="9" style="1"/>
    <col min="4369" max="4369" width="5.625" style="1" bestFit="1" customWidth="1"/>
    <col min="4370" max="4370" width="5.625" style="1" customWidth="1"/>
    <col min="4371" max="4371" width="5.625" style="1" bestFit="1" customWidth="1"/>
    <col min="4372" max="4374" width="9" style="1"/>
    <col min="4375" max="4375" width="6.875" style="1" bestFit="1" customWidth="1"/>
    <col min="4376" max="4376" width="9" style="1"/>
    <col min="4377" max="4379" width="5.625" style="1" customWidth="1"/>
    <col min="4380" max="4380" width="7.5" style="1" customWidth="1"/>
    <col min="4381" max="4608" width="9" style="1"/>
    <col min="4609" max="4609" width="6.25" style="1" bestFit="1" customWidth="1"/>
    <col min="4610" max="4610" width="11.125" style="1" bestFit="1" customWidth="1"/>
    <col min="4611" max="4611" width="6.25" style="1" customWidth="1"/>
    <col min="4612" max="4622" width="0" style="1" hidden="1" customWidth="1"/>
    <col min="4623" max="4623" width="0.125" style="1" customWidth="1"/>
    <col min="4624" max="4624" width="9" style="1"/>
    <col min="4625" max="4625" width="5.625" style="1" bestFit="1" customWidth="1"/>
    <col min="4626" max="4626" width="5.625" style="1" customWidth="1"/>
    <col min="4627" max="4627" width="5.625" style="1" bestFit="1" customWidth="1"/>
    <col min="4628" max="4630" width="9" style="1"/>
    <col min="4631" max="4631" width="6.875" style="1" bestFit="1" customWidth="1"/>
    <col min="4632" max="4632" width="9" style="1"/>
    <col min="4633" max="4635" width="5.625" style="1" customWidth="1"/>
    <col min="4636" max="4636" width="7.5" style="1" customWidth="1"/>
    <col min="4637" max="4864" width="9" style="1"/>
    <col min="4865" max="4865" width="6.25" style="1" bestFit="1" customWidth="1"/>
    <col min="4866" max="4866" width="11.125" style="1" bestFit="1" customWidth="1"/>
    <col min="4867" max="4867" width="6.25" style="1" customWidth="1"/>
    <col min="4868" max="4878" width="0" style="1" hidden="1" customWidth="1"/>
    <col min="4879" max="4879" width="0.125" style="1" customWidth="1"/>
    <col min="4880" max="4880" width="9" style="1"/>
    <col min="4881" max="4881" width="5.625" style="1" bestFit="1" customWidth="1"/>
    <col min="4882" max="4882" width="5.625" style="1" customWidth="1"/>
    <col min="4883" max="4883" width="5.625" style="1" bestFit="1" customWidth="1"/>
    <col min="4884" max="4886" width="9" style="1"/>
    <col min="4887" max="4887" width="6.875" style="1" bestFit="1" customWidth="1"/>
    <col min="4888" max="4888" width="9" style="1"/>
    <col min="4889" max="4891" width="5.625" style="1" customWidth="1"/>
    <col min="4892" max="4892" width="7.5" style="1" customWidth="1"/>
    <col min="4893" max="5120" width="9" style="1"/>
    <col min="5121" max="5121" width="6.25" style="1" bestFit="1" customWidth="1"/>
    <col min="5122" max="5122" width="11.125" style="1" bestFit="1" customWidth="1"/>
    <col min="5123" max="5123" width="6.25" style="1" customWidth="1"/>
    <col min="5124" max="5134" width="0" style="1" hidden="1" customWidth="1"/>
    <col min="5135" max="5135" width="0.125" style="1" customWidth="1"/>
    <col min="5136" max="5136" width="9" style="1"/>
    <col min="5137" max="5137" width="5.625" style="1" bestFit="1" customWidth="1"/>
    <col min="5138" max="5138" width="5.625" style="1" customWidth="1"/>
    <col min="5139" max="5139" width="5.625" style="1" bestFit="1" customWidth="1"/>
    <col min="5140" max="5142" width="9" style="1"/>
    <col min="5143" max="5143" width="6.875" style="1" bestFit="1" customWidth="1"/>
    <col min="5144" max="5144" width="9" style="1"/>
    <col min="5145" max="5147" width="5.625" style="1" customWidth="1"/>
    <col min="5148" max="5148" width="7.5" style="1" customWidth="1"/>
    <col min="5149" max="5376" width="9" style="1"/>
    <col min="5377" max="5377" width="6.25" style="1" bestFit="1" customWidth="1"/>
    <col min="5378" max="5378" width="11.125" style="1" bestFit="1" customWidth="1"/>
    <col min="5379" max="5379" width="6.25" style="1" customWidth="1"/>
    <col min="5380" max="5390" width="0" style="1" hidden="1" customWidth="1"/>
    <col min="5391" max="5391" width="0.125" style="1" customWidth="1"/>
    <col min="5392" max="5392" width="9" style="1"/>
    <col min="5393" max="5393" width="5.625" style="1" bestFit="1" customWidth="1"/>
    <col min="5394" max="5394" width="5.625" style="1" customWidth="1"/>
    <col min="5395" max="5395" width="5.625" style="1" bestFit="1" customWidth="1"/>
    <col min="5396" max="5398" width="9" style="1"/>
    <col min="5399" max="5399" width="6.875" style="1" bestFit="1" customWidth="1"/>
    <col min="5400" max="5400" width="9" style="1"/>
    <col min="5401" max="5403" width="5.625" style="1" customWidth="1"/>
    <col min="5404" max="5404" width="7.5" style="1" customWidth="1"/>
    <col min="5405" max="5632" width="9" style="1"/>
    <col min="5633" max="5633" width="6.25" style="1" bestFit="1" customWidth="1"/>
    <col min="5634" max="5634" width="11.125" style="1" bestFit="1" customWidth="1"/>
    <col min="5635" max="5635" width="6.25" style="1" customWidth="1"/>
    <col min="5636" max="5646" width="0" style="1" hidden="1" customWidth="1"/>
    <col min="5647" max="5647" width="0.125" style="1" customWidth="1"/>
    <col min="5648" max="5648" width="9" style="1"/>
    <col min="5649" max="5649" width="5.625" style="1" bestFit="1" customWidth="1"/>
    <col min="5650" max="5650" width="5.625" style="1" customWidth="1"/>
    <col min="5651" max="5651" width="5.625" style="1" bestFit="1" customWidth="1"/>
    <col min="5652" max="5654" width="9" style="1"/>
    <col min="5655" max="5655" width="6.875" style="1" bestFit="1" customWidth="1"/>
    <col min="5656" max="5656" width="9" style="1"/>
    <col min="5657" max="5659" width="5.625" style="1" customWidth="1"/>
    <col min="5660" max="5660" width="7.5" style="1" customWidth="1"/>
    <col min="5661" max="5888" width="9" style="1"/>
    <col min="5889" max="5889" width="6.25" style="1" bestFit="1" customWidth="1"/>
    <col min="5890" max="5890" width="11.125" style="1" bestFit="1" customWidth="1"/>
    <col min="5891" max="5891" width="6.25" style="1" customWidth="1"/>
    <col min="5892" max="5902" width="0" style="1" hidden="1" customWidth="1"/>
    <col min="5903" max="5903" width="0.125" style="1" customWidth="1"/>
    <col min="5904" max="5904" width="9" style="1"/>
    <col min="5905" max="5905" width="5.625" style="1" bestFit="1" customWidth="1"/>
    <col min="5906" max="5906" width="5.625" style="1" customWidth="1"/>
    <col min="5907" max="5907" width="5.625" style="1" bestFit="1" customWidth="1"/>
    <col min="5908" max="5910" width="9" style="1"/>
    <col min="5911" max="5911" width="6.875" style="1" bestFit="1" customWidth="1"/>
    <col min="5912" max="5912" width="9" style="1"/>
    <col min="5913" max="5915" width="5.625" style="1" customWidth="1"/>
    <col min="5916" max="5916" width="7.5" style="1" customWidth="1"/>
    <col min="5917" max="6144" width="9" style="1"/>
    <col min="6145" max="6145" width="6.25" style="1" bestFit="1" customWidth="1"/>
    <col min="6146" max="6146" width="11.125" style="1" bestFit="1" customWidth="1"/>
    <col min="6147" max="6147" width="6.25" style="1" customWidth="1"/>
    <col min="6148" max="6158" width="0" style="1" hidden="1" customWidth="1"/>
    <col min="6159" max="6159" width="0.125" style="1" customWidth="1"/>
    <col min="6160" max="6160" width="9" style="1"/>
    <col min="6161" max="6161" width="5.625" style="1" bestFit="1" customWidth="1"/>
    <col min="6162" max="6162" width="5.625" style="1" customWidth="1"/>
    <col min="6163" max="6163" width="5.625" style="1" bestFit="1" customWidth="1"/>
    <col min="6164" max="6166" width="9" style="1"/>
    <col min="6167" max="6167" width="6.875" style="1" bestFit="1" customWidth="1"/>
    <col min="6168" max="6168" width="9" style="1"/>
    <col min="6169" max="6171" width="5.625" style="1" customWidth="1"/>
    <col min="6172" max="6172" width="7.5" style="1" customWidth="1"/>
    <col min="6173" max="6400" width="9" style="1"/>
    <col min="6401" max="6401" width="6.25" style="1" bestFit="1" customWidth="1"/>
    <col min="6402" max="6402" width="11.125" style="1" bestFit="1" customWidth="1"/>
    <col min="6403" max="6403" width="6.25" style="1" customWidth="1"/>
    <col min="6404" max="6414" width="0" style="1" hidden="1" customWidth="1"/>
    <col min="6415" max="6415" width="0.125" style="1" customWidth="1"/>
    <col min="6416" max="6416" width="9" style="1"/>
    <col min="6417" max="6417" width="5.625" style="1" bestFit="1" customWidth="1"/>
    <col min="6418" max="6418" width="5.625" style="1" customWidth="1"/>
    <col min="6419" max="6419" width="5.625" style="1" bestFit="1" customWidth="1"/>
    <col min="6420" max="6422" width="9" style="1"/>
    <col min="6423" max="6423" width="6.875" style="1" bestFit="1" customWidth="1"/>
    <col min="6424" max="6424" width="9" style="1"/>
    <col min="6425" max="6427" width="5.625" style="1" customWidth="1"/>
    <col min="6428" max="6428" width="7.5" style="1" customWidth="1"/>
    <col min="6429" max="6656" width="9" style="1"/>
    <col min="6657" max="6657" width="6.25" style="1" bestFit="1" customWidth="1"/>
    <col min="6658" max="6658" width="11.125" style="1" bestFit="1" customWidth="1"/>
    <col min="6659" max="6659" width="6.25" style="1" customWidth="1"/>
    <col min="6660" max="6670" width="0" style="1" hidden="1" customWidth="1"/>
    <col min="6671" max="6671" width="0.125" style="1" customWidth="1"/>
    <col min="6672" max="6672" width="9" style="1"/>
    <col min="6673" max="6673" width="5.625" style="1" bestFit="1" customWidth="1"/>
    <col min="6674" max="6674" width="5.625" style="1" customWidth="1"/>
    <col min="6675" max="6675" width="5.625" style="1" bestFit="1" customWidth="1"/>
    <col min="6676" max="6678" width="9" style="1"/>
    <col min="6679" max="6679" width="6.875" style="1" bestFit="1" customWidth="1"/>
    <col min="6680" max="6680" width="9" style="1"/>
    <col min="6681" max="6683" width="5.625" style="1" customWidth="1"/>
    <col min="6684" max="6684" width="7.5" style="1" customWidth="1"/>
    <col min="6685" max="6912" width="9" style="1"/>
    <col min="6913" max="6913" width="6.25" style="1" bestFit="1" customWidth="1"/>
    <col min="6914" max="6914" width="11.125" style="1" bestFit="1" customWidth="1"/>
    <col min="6915" max="6915" width="6.25" style="1" customWidth="1"/>
    <col min="6916" max="6926" width="0" style="1" hidden="1" customWidth="1"/>
    <col min="6927" max="6927" width="0.125" style="1" customWidth="1"/>
    <col min="6928" max="6928" width="9" style="1"/>
    <col min="6929" max="6929" width="5.625" style="1" bestFit="1" customWidth="1"/>
    <col min="6930" max="6930" width="5.625" style="1" customWidth="1"/>
    <col min="6931" max="6931" width="5.625" style="1" bestFit="1" customWidth="1"/>
    <col min="6932" max="6934" width="9" style="1"/>
    <col min="6935" max="6935" width="6.875" style="1" bestFit="1" customWidth="1"/>
    <col min="6936" max="6936" width="9" style="1"/>
    <col min="6937" max="6939" width="5.625" style="1" customWidth="1"/>
    <col min="6940" max="6940" width="7.5" style="1" customWidth="1"/>
    <col min="6941" max="7168" width="9" style="1"/>
    <col min="7169" max="7169" width="6.25" style="1" bestFit="1" customWidth="1"/>
    <col min="7170" max="7170" width="11.125" style="1" bestFit="1" customWidth="1"/>
    <col min="7171" max="7171" width="6.25" style="1" customWidth="1"/>
    <col min="7172" max="7182" width="0" style="1" hidden="1" customWidth="1"/>
    <col min="7183" max="7183" width="0.125" style="1" customWidth="1"/>
    <col min="7184" max="7184" width="9" style="1"/>
    <col min="7185" max="7185" width="5.625" style="1" bestFit="1" customWidth="1"/>
    <col min="7186" max="7186" width="5.625" style="1" customWidth="1"/>
    <col min="7187" max="7187" width="5.625" style="1" bestFit="1" customWidth="1"/>
    <col min="7188" max="7190" width="9" style="1"/>
    <col min="7191" max="7191" width="6.875" style="1" bestFit="1" customWidth="1"/>
    <col min="7192" max="7192" width="9" style="1"/>
    <col min="7193" max="7195" width="5.625" style="1" customWidth="1"/>
    <col min="7196" max="7196" width="7.5" style="1" customWidth="1"/>
    <col min="7197" max="7424" width="9" style="1"/>
    <col min="7425" max="7425" width="6.25" style="1" bestFit="1" customWidth="1"/>
    <col min="7426" max="7426" width="11.125" style="1" bestFit="1" customWidth="1"/>
    <col min="7427" max="7427" width="6.25" style="1" customWidth="1"/>
    <col min="7428" max="7438" width="0" style="1" hidden="1" customWidth="1"/>
    <col min="7439" max="7439" width="0.125" style="1" customWidth="1"/>
    <col min="7440" max="7440" width="9" style="1"/>
    <col min="7441" max="7441" width="5.625" style="1" bestFit="1" customWidth="1"/>
    <col min="7442" max="7442" width="5.625" style="1" customWidth="1"/>
    <col min="7443" max="7443" width="5.625" style="1" bestFit="1" customWidth="1"/>
    <col min="7444" max="7446" width="9" style="1"/>
    <col min="7447" max="7447" width="6.875" style="1" bestFit="1" customWidth="1"/>
    <col min="7448" max="7448" width="9" style="1"/>
    <col min="7449" max="7451" width="5.625" style="1" customWidth="1"/>
    <col min="7452" max="7452" width="7.5" style="1" customWidth="1"/>
    <col min="7453" max="7680" width="9" style="1"/>
    <col min="7681" max="7681" width="6.25" style="1" bestFit="1" customWidth="1"/>
    <col min="7682" max="7682" width="11.125" style="1" bestFit="1" customWidth="1"/>
    <col min="7683" max="7683" width="6.25" style="1" customWidth="1"/>
    <col min="7684" max="7694" width="0" style="1" hidden="1" customWidth="1"/>
    <col min="7695" max="7695" width="0.125" style="1" customWidth="1"/>
    <col min="7696" max="7696" width="9" style="1"/>
    <col min="7697" max="7697" width="5.625" style="1" bestFit="1" customWidth="1"/>
    <col min="7698" max="7698" width="5.625" style="1" customWidth="1"/>
    <col min="7699" max="7699" width="5.625" style="1" bestFit="1" customWidth="1"/>
    <col min="7700" max="7702" width="9" style="1"/>
    <col min="7703" max="7703" width="6.875" style="1" bestFit="1" customWidth="1"/>
    <col min="7704" max="7704" width="9" style="1"/>
    <col min="7705" max="7707" width="5.625" style="1" customWidth="1"/>
    <col min="7708" max="7708" width="7.5" style="1" customWidth="1"/>
    <col min="7709" max="7936" width="9" style="1"/>
    <col min="7937" max="7937" width="6.25" style="1" bestFit="1" customWidth="1"/>
    <col min="7938" max="7938" width="11.125" style="1" bestFit="1" customWidth="1"/>
    <col min="7939" max="7939" width="6.25" style="1" customWidth="1"/>
    <col min="7940" max="7950" width="0" style="1" hidden="1" customWidth="1"/>
    <col min="7951" max="7951" width="0.125" style="1" customWidth="1"/>
    <col min="7952" max="7952" width="9" style="1"/>
    <col min="7953" max="7953" width="5.625" style="1" bestFit="1" customWidth="1"/>
    <col min="7954" max="7954" width="5.625" style="1" customWidth="1"/>
    <col min="7955" max="7955" width="5.625" style="1" bestFit="1" customWidth="1"/>
    <col min="7956" max="7958" width="9" style="1"/>
    <col min="7959" max="7959" width="6.875" style="1" bestFit="1" customWidth="1"/>
    <col min="7960" max="7960" width="9" style="1"/>
    <col min="7961" max="7963" width="5.625" style="1" customWidth="1"/>
    <col min="7964" max="7964" width="7.5" style="1" customWidth="1"/>
    <col min="7965" max="8192" width="9" style="1"/>
    <col min="8193" max="8193" width="6.25" style="1" bestFit="1" customWidth="1"/>
    <col min="8194" max="8194" width="11.125" style="1" bestFit="1" customWidth="1"/>
    <col min="8195" max="8195" width="6.25" style="1" customWidth="1"/>
    <col min="8196" max="8206" width="0" style="1" hidden="1" customWidth="1"/>
    <col min="8207" max="8207" width="0.125" style="1" customWidth="1"/>
    <col min="8208" max="8208" width="9" style="1"/>
    <col min="8209" max="8209" width="5.625" style="1" bestFit="1" customWidth="1"/>
    <col min="8210" max="8210" width="5.625" style="1" customWidth="1"/>
    <col min="8211" max="8211" width="5.625" style="1" bestFit="1" customWidth="1"/>
    <col min="8212" max="8214" width="9" style="1"/>
    <col min="8215" max="8215" width="6.875" style="1" bestFit="1" customWidth="1"/>
    <col min="8216" max="8216" width="9" style="1"/>
    <col min="8217" max="8219" width="5.625" style="1" customWidth="1"/>
    <col min="8220" max="8220" width="7.5" style="1" customWidth="1"/>
    <col min="8221" max="8448" width="9" style="1"/>
    <col min="8449" max="8449" width="6.25" style="1" bestFit="1" customWidth="1"/>
    <col min="8450" max="8450" width="11.125" style="1" bestFit="1" customWidth="1"/>
    <col min="8451" max="8451" width="6.25" style="1" customWidth="1"/>
    <col min="8452" max="8462" width="0" style="1" hidden="1" customWidth="1"/>
    <col min="8463" max="8463" width="0.125" style="1" customWidth="1"/>
    <col min="8464" max="8464" width="9" style="1"/>
    <col min="8465" max="8465" width="5.625" style="1" bestFit="1" customWidth="1"/>
    <col min="8466" max="8466" width="5.625" style="1" customWidth="1"/>
    <col min="8467" max="8467" width="5.625" style="1" bestFit="1" customWidth="1"/>
    <col min="8468" max="8470" width="9" style="1"/>
    <col min="8471" max="8471" width="6.875" style="1" bestFit="1" customWidth="1"/>
    <col min="8472" max="8472" width="9" style="1"/>
    <col min="8473" max="8475" width="5.625" style="1" customWidth="1"/>
    <col min="8476" max="8476" width="7.5" style="1" customWidth="1"/>
    <col min="8477" max="8704" width="9" style="1"/>
    <col min="8705" max="8705" width="6.25" style="1" bestFit="1" customWidth="1"/>
    <col min="8706" max="8706" width="11.125" style="1" bestFit="1" customWidth="1"/>
    <col min="8707" max="8707" width="6.25" style="1" customWidth="1"/>
    <col min="8708" max="8718" width="0" style="1" hidden="1" customWidth="1"/>
    <col min="8719" max="8719" width="0.125" style="1" customWidth="1"/>
    <col min="8720" max="8720" width="9" style="1"/>
    <col min="8721" max="8721" width="5.625" style="1" bestFit="1" customWidth="1"/>
    <col min="8722" max="8722" width="5.625" style="1" customWidth="1"/>
    <col min="8723" max="8723" width="5.625" style="1" bestFit="1" customWidth="1"/>
    <col min="8724" max="8726" width="9" style="1"/>
    <col min="8727" max="8727" width="6.875" style="1" bestFit="1" customWidth="1"/>
    <col min="8728" max="8728" width="9" style="1"/>
    <col min="8729" max="8731" width="5.625" style="1" customWidth="1"/>
    <col min="8732" max="8732" width="7.5" style="1" customWidth="1"/>
    <col min="8733" max="8960" width="9" style="1"/>
    <col min="8961" max="8961" width="6.25" style="1" bestFit="1" customWidth="1"/>
    <col min="8962" max="8962" width="11.125" style="1" bestFit="1" customWidth="1"/>
    <col min="8963" max="8963" width="6.25" style="1" customWidth="1"/>
    <col min="8964" max="8974" width="0" style="1" hidden="1" customWidth="1"/>
    <col min="8975" max="8975" width="0.125" style="1" customWidth="1"/>
    <col min="8976" max="8976" width="9" style="1"/>
    <col min="8977" max="8977" width="5.625" style="1" bestFit="1" customWidth="1"/>
    <col min="8978" max="8978" width="5.625" style="1" customWidth="1"/>
    <col min="8979" max="8979" width="5.625" style="1" bestFit="1" customWidth="1"/>
    <col min="8980" max="8982" width="9" style="1"/>
    <col min="8983" max="8983" width="6.875" style="1" bestFit="1" customWidth="1"/>
    <col min="8984" max="8984" width="9" style="1"/>
    <col min="8985" max="8987" width="5.625" style="1" customWidth="1"/>
    <col min="8988" max="8988" width="7.5" style="1" customWidth="1"/>
    <col min="8989" max="9216" width="9" style="1"/>
    <col min="9217" max="9217" width="6.25" style="1" bestFit="1" customWidth="1"/>
    <col min="9218" max="9218" width="11.125" style="1" bestFit="1" customWidth="1"/>
    <col min="9219" max="9219" width="6.25" style="1" customWidth="1"/>
    <col min="9220" max="9230" width="0" style="1" hidden="1" customWidth="1"/>
    <col min="9231" max="9231" width="0.125" style="1" customWidth="1"/>
    <col min="9232" max="9232" width="9" style="1"/>
    <col min="9233" max="9233" width="5.625" style="1" bestFit="1" customWidth="1"/>
    <col min="9234" max="9234" width="5.625" style="1" customWidth="1"/>
    <col min="9235" max="9235" width="5.625" style="1" bestFit="1" customWidth="1"/>
    <col min="9236" max="9238" width="9" style="1"/>
    <col min="9239" max="9239" width="6.875" style="1" bestFit="1" customWidth="1"/>
    <col min="9240" max="9240" width="9" style="1"/>
    <col min="9241" max="9243" width="5.625" style="1" customWidth="1"/>
    <col min="9244" max="9244" width="7.5" style="1" customWidth="1"/>
    <col min="9245" max="9472" width="9" style="1"/>
    <col min="9473" max="9473" width="6.25" style="1" bestFit="1" customWidth="1"/>
    <col min="9474" max="9474" width="11.125" style="1" bestFit="1" customWidth="1"/>
    <col min="9475" max="9475" width="6.25" style="1" customWidth="1"/>
    <col min="9476" max="9486" width="0" style="1" hidden="1" customWidth="1"/>
    <col min="9487" max="9487" width="0.125" style="1" customWidth="1"/>
    <col min="9488" max="9488" width="9" style="1"/>
    <col min="9489" max="9489" width="5.625" style="1" bestFit="1" customWidth="1"/>
    <col min="9490" max="9490" width="5.625" style="1" customWidth="1"/>
    <col min="9491" max="9491" width="5.625" style="1" bestFit="1" customWidth="1"/>
    <col min="9492" max="9494" width="9" style="1"/>
    <col min="9495" max="9495" width="6.875" style="1" bestFit="1" customWidth="1"/>
    <col min="9496" max="9496" width="9" style="1"/>
    <col min="9497" max="9499" width="5.625" style="1" customWidth="1"/>
    <col min="9500" max="9500" width="7.5" style="1" customWidth="1"/>
    <col min="9501" max="9728" width="9" style="1"/>
    <col min="9729" max="9729" width="6.25" style="1" bestFit="1" customWidth="1"/>
    <col min="9730" max="9730" width="11.125" style="1" bestFit="1" customWidth="1"/>
    <col min="9731" max="9731" width="6.25" style="1" customWidth="1"/>
    <col min="9732" max="9742" width="0" style="1" hidden="1" customWidth="1"/>
    <col min="9743" max="9743" width="0.125" style="1" customWidth="1"/>
    <col min="9744" max="9744" width="9" style="1"/>
    <col min="9745" max="9745" width="5.625" style="1" bestFit="1" customWidth="1"/>
    <col min="9746" max="9746" width="5.625" style="1" customWidth="1"/>
    <col min="9747" max="9747" width="5.625" style="1" bestFit="1" customWidth="1"/>
    <col min="9748" max="9750" width="9" style="1"/>
    <col min="9751" max="9751" width="6.875" style="1" bestFit="1" customWidth="1"/>
    <col min="9752" max="9752" width="9" style="1"/>
    <col min="9753" max="9755" width="5.625" style="1" customWidth="1"/>
    <col min="9756" max="9756" width="7.5" style="1" customWidth="1"/>
    <col min="9757" max="9984" width="9" style="1"/>
    <col min="9985" max="9985" width="6.25" style="1" bestFit="1" customWidth="1"/>
    <col min="9986" max="9986" width="11.125" style="1" bestFit="1" customWidth="1"/>
    <col min="9987" max="9987" width="6.25" style="1" customWidth="1"/>
    <col min="9988" max="9998" width="0" style="1" hidden="1" customWidth="1"/>
    <col min="9999" max="9999" width="0.125" style="1" customWidth="1"/>
    <col min="10000" max="10000" width="9" style="1"/>
    <col min="10001" max="10001" width="5.625" style="1" bestFit="1" customWidth="1"/>
    <col min="10002" max="10002" width="5.625" style="1" customWidth="1"/>
    <col min="10003" max="10003" width="5.625" style="1" bestFit="1" customWidth="1"/>
    <col min="10004" max="10006" width="9" style="1"/>
    <col min="10007" max="10007" width="6.875" style="1" bestFit="1" customWidth="1"/>
    <col min="10008" max="10008" width="9" style="1"/>
    <col min="10009" max="10011" width="5.625" style="1" customWidth="1"/>
    <col min="10012" max="10012" width="7.5" style="1" customWidth="1"/>
    <col min="10013" max="10240" width="9" style="1"/>
    <col min="10241" max="10241" width="6.25" style="1" bestFit="1" customWidth="1"/>
    <col min="10242" max="10242" width="11.125" style="1" bestFit="1" customWidth="1"/>
    <col min="10243" max="10243" width="6.25" style="1" customWidth="1"/>
    <col min="10244" max="10254" width="0" style="1" hidden="1" customWidth="1"/>
    <col min="10255" max="10255" width="0.125" style="1" customWidth="1"/>
    <col min="10256" max="10256" width="9" style="1"/>
    <col min="10257" max="10257" width="5.625" style="1" bestFit="1" customWidth="1"/>
    <col min="10258" max="10258" width="5.625" style="1" customWidth="1"/>
    <col min="10259" max="10259" width="5.625" style="1" bestFit="1" customWidth="1"/>
    <col min="10260" max="10262" width="9" style="1"/>
    <col min="10263" max="10263" width="6.875" style="1" bestFit="1" customWidth="1"/>
    <col min="10264" max="10264" width="9" style="1"/>
    <col min="10265" max="10267" width="5.625" style="1" customWidth="1"/>
    <col min="10268" max="10268" width="7.5" style="1" customWidth="1"/>
    <col min="10269" max="10496" width="9" style="1"/>
    <col min="10497" max="10497" width="6.25" style="1" bestFit="1" customWidth="1"/>
    <col min="10498" max="10498" width="11.125" style="1" bestFit="1" customWidth="1"/>
    <col min="10499" max="10499" width="6.25" style="1" customWidth="1"/>
    <col min="10500" max="10510" width="0" style="1" hidden="1" customWidth="1"/>
    <col min="10511" max="10511" width="0.125" style="1" customWidth="1"/>
    <col min="10512" max="10512" width="9" style="1"/>
    <col min="10513" max="10513" width="5.625" style="1" bestFit="1" customWidth="1"/>
    <col min="10514" max="10514" width="5.625" style="1" customWidth="1"/>
    <col min="10515" max="10515" width="5.625" style="1" bestFit="1" customWidth="1"/>
    <col min="10516" max="10518" width="9" style="1"/>
    <col min="10519" max="10519" width="6.875" style="1" bestFit="1" customWidth="1"/>
    <col min="10520" max="10520" width="9" style="1"/>
    <col min="10521" max="10523" width="5.625" style="1" customWidth="1"/>
    <col min="10524" max="10524" width="7.5" style="1" customWidth="1"/>
    <col min="10525" max="10752" width="9" style="1"/>
    <col min="10753" max="10753" width="6.25" style="1" bestFit="1" customWidth="1"/>
    <col min="10754" max="10754" width="11.125" style="1" bestFit="1" customWidth="1"/>
    <col min="10755" max="10755" width="6.25" style="1" customWidth="1"/>
    <col min="10756" max="10766" width="0" style="1" hidden="1" customWidth="1"/>
    <col min="10767" max="10767" width="0.125" style="1" customWidth="1"/>
    <col min="10768" max="10768" width="9" style="1"/>
    <col min="10769" max="10769" width="5.625" style="1" bestFit="1" customWidth="1"/>
    <col min="10770" max="10770" width="5.625" style="1" customWidth="1"/>
    <col min="10771" max="10771" width="5.625" style="1" bestFit="1" customWidth="1"/>
    <col min="10772" max="10774" width="9" style="1"/>
    <col min="10775" max="10775" width="6.875" style="1" bestFit="1" customWidth="1"/>
    <col min="10776" max="10776" width="9" style="1"/>
    <col min="10777" max="10779" width="5.625" style="1" customWidth="1"/>
    <col min="10780" max="10780" width="7.5" style="1" customWidth="1"/>
    <col min="10781" max="11008" width="9" style="1"/>
    <col min="11009" max="11009" width="6.25" style="1" bestFit="1" customWidth="1"/>
    <col min="11010" max="11010" width="11.125" style="1" bestFit="1" customWidth="1"/>
    <col min="11011" max="11011" width="6.25" style="1" customWidth="1"/>
    <col min="11012" max="11022" width="0" style="1" hidden="1" customWidth="1"/>
    <col min="11023" max="11023" width="0.125" style="1" customWidth="1"/>
    <col min="11024" max="11024" width="9" style="1"/>
    <col min="11025" max="11025" width="5.625" style="1" bestFit="1" customWidth="1"/>
    <col min="11026" max="11026" width="5.625" style="1" customWidth="1"/>
    <col min="11027" max="11027" width="5.625" style="1" bestFit="1" customWidth="1"/>
    <col min="11028" max="11030" width="9" style="1"/>
    <col min="11031" max="11031" width="6.875" style="1" bestFit="1" customWidth="1"/>
    <col min="11032" max="11032" width="9" style="1"/>
    <col min="11033" max="11035" width="5.625" style="1" customWidth="1"/>
    <col min="11036" max="11036" width="7.5" style="1" customWidth="1"/>
    <col min="11037" max="11264" width="9" style="1"/>
    <col min="11265" max="11265" width="6.25" style="1" bestFit="1" customWidth="1"/>
    <col min="11266" max="11266" width="11.125" style="1" bestFit="1" customWidth="1"/>
    <col min="11267" max="11267" width="6.25" style="1" customWidth="1"/>
    <col min="11268" max="11278" width="0" style="1" hidden="1" customWidth="1"/>
    <col min="11279" max="11279" width="0.125" style="1" customWidth="1"/>
    <col min="11280" max="11280" width="9" style="1"/>
    <col min="11281" max="11281" width="5.625" style="1" bestFit="1" customWidth="1"/>
    <col min="11282" max="11282" width="5.625" style="1" customWidth="1"/>
    <col min="11283" max="11283" width="5.625" style="1" bestFit="1" customWidth="1"/>
    <col min="11284" max="11286" width="9" style="1"/>
    <col min="11287" max="11287" width="6.875" style="1" bestFit="1" customWidth="1"/>
    <col min="11288" max="11288" width="9" style="1"/>
    <col min="11289" max="11291" width="5.625" style="1" customWidth="1"/>
    <col min="11292" max="11292" width="7.5" style="1" customWidth="1"/>
    <col min="11293" max="11520" width="9" style="1"/>
    <col min="11521" max="11521" width="6.25" style="1" bestFit="1" customWidth="1"/>
    <col min="11522" max="11522" width="11.125" style="1" bestFit="1" customWidth="1"/>
    <col min="11523" max="11523" width="6.25" style="1" customWidth="1"/>
    <col min="11524" max="11534" width="0" style="1" hidden="1" customWidth="1"/>
    <col min="11535" max="11535" width="0.125" style="1" customWidth="1"/>
    <col min="11536" max="11536" width="9" style="1"/>
    <col min="11537" max="11537" width="5.625" style="1" bestFit="1" customWidth="1"/>
    <col min="11538" max="11538" width="5.625" style="1" customWidth="1"/>
    <col min="11539" max="11539" width="5.625" style="1" bestFit="1" customWidth="1"/>
    <col min="11540" max="11542" width="9" style="1"/>
    <col min="11543" max="11543" width="6.875" style="1" bestFit="1" customWidth="1"/>
    <col min="11544" max="11544" width="9" style="1"/>
    <col min="11545" max="11547" width="5.625" style="1" customWidth="1"/>
    <col min="11548" max="11548" width="7.5" style="1" customWidth="1"/>
    <col min="11549" max="11776" width="9" style="1"/>
    <col min="11777" max="11777" width="6.25" style="1" bestFit="1" customWidth="1"/>
    <col min="11778" max="11778" width="11.125" style="1" bestFit="1" customWidth="1"/>
    <col min="11779" max="11779" width="6.25" style="1" customWidth="1"/>
    <col min="11780" max="11790" width="0" style="1" hidden="1" customWidth="1"/>
    <col min="11791" max="11791" width="0.125" style="1" customWidth="1"/>
    <col min="11792" max="11792" width="9" style="1"/>
    <col min="11793" max="11793" width="5.625" style="1" bestFit="1" customWidth="1"/>
    <col min="11794" max="11794" width="5.625" style="1" customWidth="1"/>
    <col min="11795" max="11795" width="5.625" style="1" bestFit="1" customWidth="1"/>
    <col min="11796" max="11798" width="9" style="1"/>
    <col min="11799" max="11799" width="6.875" style="1" bestFit="1" customWidth="1"/>
    <col min="11800" max="11800" width="9" style="1"/>
    <col min="11801" max="11803" width="5.625" style="1" customWidth="1"/>
    <col min="11804" max="11804" width="7.5" style="1" customWidth="1"/>
    <col min="11805" max="12032" width="9" style="1"/>
    <col min="12033" max="12033" width="6.25" style="1" bestFit="1" customWidth="1"/>
    <col min="12034" max="12034" width="11.125" style="1" bestFit="1" customWidth="1"/>
    <col min="12035" max="12035" width="6.25" style="1" customWidth="1"/>
    <col min="12036" max="12046" width="0" style="1" hidden="1" customWidth="1"/>
    <col min="12047" max="12047" width="0.125" style="1" customWidth="1"/>
    <col min="12048" max="12048" width="9" style="1"/>
    <col min="12049" max="12049" width="5.625" style="1" bestFit="1" customWidth="1"/>
    <col min="12050" max="12050" width="5.625" style="1" customWidth="1"/>
    <col min="12051" max="12051" width="5.625" style="1" bestFit="1" customWidth="1"/>
    <col min="12052" max="12054" width="9" style="1"/>
    <col min="12055" max="12055" width="6.875" style="1" bestFit="1" customWidth="1"/>
    <col min="12056" max="12056" width="9" style="1"/>
    <col min="12057" max="12059" width="5.625" style="1" customWidth="1"/>
    <col min="12060" max="12060" width="7.5" style="1" customWidth="1"/>
    <col min="12061" max="12288" width="9" style="1"/>
    <col min="12289" max="12289" width="6.25" style="1" bestFit="1" customWidth="1"/>
    <col min="12290" max="12290" width="11.125" style="1" bestFit="1" customWidth="1"/>
    <col min="12291" max="12291" width="6.25" style="1" customWidth="1"/>
    <col min="12292" max="12302" width="0" style="1" hidden="1" customWidth="1"/>
    <col min="12303" max="12303" width="0.125" style="1" customWidth="1"/>
    <col min="12304" max="12304" width="9" style="1"/>
    <col min="12305" max="12305" width="5.625" style="1" bestFit="1" customWidth="1"/>
    <col min="12306" max="12306" width="5.625" style="1" customWidth="1"/>
    <col min="12307" max="12307" width="5.625" style="1" bestFit="1" customWidth="1"/>
    <col min="12308" max="12310" width="9" style="1"/>
    <col min="12311" max="12311" width="6.875" style="1" bestFit="1" customWidth="1"/>
    <col min="12312" max="12312" width="9" style="1"/>
    <col min="12313" max="12315" width="5.625" style="1" customWidth="1"/>
    <col min="12316" max="12316" width="7.5" style="1" customWidth="1"/>
    <col min="12317" max="12544" width="9" style="1"/>
    <col min="12545" max="12545" width="6.25" style="1" bestFit="1" customWidth="1"/>
    <col min="12546" max="12546" width="11.125" style="1" bestFit="1" customWidth="1"/>
    <col min="12547" max="12547" width="6.25" style="1" customWidth="1"/>
    <col min="12548" max="12558" width="0" style="1" hidden="1" customWidth="1"/>
    <col min="12559" max="12559" width="0.125" style="1" customWidth="1"/>
    <col min="12560" max="12560" width="9" style="1"/>
    <col min="12561" max="12561" width="5.625" style="1" bestFit="1" customWidth="1"/>
    <col min="12562" max="12562" width="5.625" style="1" customWidth="1"/>
    <col min="12563" max="12563" width="5.625" style="1" bestFit="1" customWidth="1"/>
    <col min="12564" max="12566" width="9" style="1"/>
    <col min="12567" max="12567" width="6.875" style="1" bestFit="1" customWidth="1"/>
    <col min="12568" max="12568" width="9" style="1"/>
    <col min="12569" max="12571" width="5.625" style="1" customWidth="1"/>
    <col min="12572" max="12572" width="7.5" style="1" customWidth="1"/>
    <col min="12573" max="12800" width="9" style="1"/>
    <col min="12801" max="12801" width="6.25" style="1" bestFit="1" customWidth="1"/>
    <col min="12802" max="12802" width="11.125" style="1" bestFit="1" customWidth="1"/>
    <col min="12803" max="12803" width="6.25" style="1" customWidth="1"/>
    <col min="12804" max="12814" width="0" style="1" hidden="1" customWidth="1"/>
    <col min="12815" max="12815" width="0.125" style="1" customWidth="1"/>
    <col min="12816" max="12816" width="9" style="1"/>
    <col min="12817" max="12817" width="5.625" style="1" bestFit="1" customWidth="1"/>
    <col min="12818" max="12818" width="5.625" style="1" customWidth="1"/>
    <col min="12819" max="12819" width="5.625" style="1" bestFit="1" customWidth="1"/>
    <col min="12820" max="12822" width="9" style="1"/>
    <col min="12823" max="12823" width="6.875" style="1" bestFit="1" customWidth="1"/>
    <col min="12824" max="12824" width="9" style="1"/>
    <col min="12825" max="12827" width="5.625" style="1" customWidth="1"/>
    <col min="12828" max="12828" width="7.5" style="1" customWidth="1"/>
    <col min="12829" max="13056" width="9" style="1"/>
    <col min="13057" max="13057" width="6.25" style="1" bestFit="1" customWidth="1"/>
    <col min="13058" max="13058" width="11.125" style="1" bestFit="1" customWidth="1"/>
    <col min="13059" max="13059" width="6.25" style="1" customWidth="1"/>
    <col min="13060" max="13070" width="0" style="1" hidden="1" customWidth="1"/>
    <col min="13071" max="13071" width="0.125" style="1" customWidth="1"/>
    <col min="13072" max="13072" width="9" style="1"/>
    <col min="13073" max="13073" width="5.625" style="1" bestFit="1" customWidth="1"/>
    <col min="13074" max="13074" width="5.625" style="1" customWidth="1"/>
    <col min="13075" max="13075" width="5.625" style="1" bestFit="1" customWidth="1"/>
    <col min="13076" max="13078" width="9" style="1"/>
    <col min="13079" max="13079" width="6.875" style="1" bestFit="1" customWidth="1"/>
    <col min="13080" max="13080" width="9" style="1"/>
    <col min="13081" max="13083" width="5.625" style="1" customWidth="1"/>
    <col min="13084" max="13084" width="7.5" style="1" customWidth="1"/>
    <col min="13085" max="13312" width="9" style="1"/>
    <col min="13313" max="13313" width="6.25" style="1" bestFit="1" customWidth="1"/>
    <col min="13314" max="13314" width="11.125" style="1" bestFit="1" customWidth="1"/>
    <col min="13315" max="13315" width="6.25" style="1" customWidth="1"/>
    <col min="13316" max="13326" width="0" style="1" hidden="1" customWidth="1"/>
    <col min="13327" max="13327" width="0.125" style="1" customWidth="1"/>
    <col min="13328" max="13328" width="9" style="1"/>
    <col min="13329" max="13329" width="5.625" style="1" bestFit="1" customWidth="1"/>
    <col min="13330" max="13330" width="5.625" style="1" customWidth="1"/>
    <col min="13331" max="13331" width="5.625" style="1" bestFit="1" customWidth="1"/>
    <col min="13332" max="13334" width="9" style="1"/>
    <col min="13335" max="13335" width="6.875" style="1" bestFit="1" customWidth="1"/>
    <col min="13336" max="13336" width="9" style="1"/>
    <col min="13337" max="13339" width="5.625" style="1" customWidth="1"/>
    <col min="13340" max="13340" width="7.5" style="1" customWidth="1"/>
    <col min="13341" max="13568" width="9" style="1"/>
    <col min="13569" max="13569" width="6.25" style="1" bestFit="1" customWidth="1"/>
    <col min="13570" max="13570" width="11.125" style="1" bestFit="1" customWidth="1"/>
    <col min="13571" max="13571" width="6.25" style="1" customWidth="1"/>
    <col min="13572" max="13582" width="0" style="1" hidden="1" customWidth="1"/>
    <col min="13583" max="13583" width="0.125" style="1" customWidth="1"/>
    <col min="13584" max="13584" width="9" style="1"/>
    <col min="13585" max="13585" width="5.625" style="1" bestFit="1" customWidth="1"/>
    <col min="13586" max="13586" width="5.625" style="1" customWidth="1"/>
    <col min="13587" max="13587" width="5.625" style="1" bestFit="1" customWidth="1"/>
    <col min="13588" max="13590" width="9" style="1"/>
    <col min="13591" max="13591" width="6.875" style="1" bestFit="1" customWidth="1"/>
    <col min="13592" max="13592" width="9" style="1"/>
    <col min="13593" max="13595" width="5.625" style="1" customWidth="1"/>
    <col min="13596" max="13596" width="7.5" style="1" customWidth="1"/>
    <col min="13597" max="13824" width="9" style="1"/>
    <col min="13825" max="13825" width="6.25" style="1" bestFit="1" customWidth="1"/>
    <col min="13826" max="13826" width="11.125" style="1" bestFit="1" customWidth="1"/>
    <col min="13827" max="13827" width="6.25" style="1" customWidth="1"/>
    <col min="13828" max="13838" width="0" style="1" hidden="1" customWidth="1"/>
    <col min="13839" max="13839" width="0.125" style="1" customWidth="1"/>
    <col min="13840" max="13840" width="9" style="1"/>
    <col min="13841" max="13841" width="5.625" style="1" bestFit="1" customWidth="1"/>
    <col min="13842" max="13842" width="5.625" style="1" customWidth="1"/>
    <col min="13843" max="13843" width="5.625" style="1" bestFit="1" customWidth="1"/>
    <col min="13844" max="13846" width="9" style="1"/>
    <col min="13847" max="13847" width="6.875" style="1" bestFit="1" customWidth="1"/>
    <col min="13848" max="13848" width="9" style="1"/>
    <col min="13849" max="13851" width="5.625" style="1" customWidth="1"/>
    <col min="13852" max="13852" width="7.5" style="1" customWidth="1"/>
    <col min="13853" max="14080" width="9" style="1"/>
    <col min="14081" max="14081" width="6.25" style="1" bestFit="1" customWidth="1"/>
    <col min="14082" max="14082" width="11.125" style="1" bestFit="1" customWidth="1"/>
    <col min="14083" max="14083" width="6.25" style="1" customWidth="1"/>
    <col min="14084" max="14094" width="0" style="1" hidden="1" customWidth="1"/>
    <col min="14095" max="14095" width="0.125" style="1" customWidth="1"/>
    <col min="14096" max="14096" width="9" style="1"/>
    <col min="14097" max="14097" width="5.625" style="1" bestFit="1" customWidth="1"/>
    <col min="14098" max="14098" width="5.625" style="1" customWidth="1"/>
    <col min="14099" max="14099" width="5.625" style="1" bestFit="1" customWidth="1"/>
    <col min="14100" max="14102" width="9" style="1"/>
    <col min="14103" max="14103" width="6.875" style="1" bestFit="1" customWidth="1"/>
    <col min="14104" max="14104" width="9" style="1"/>
    <col min="14105" max="14107" width="5.625" style="1" customWidth="1"/>
    <col min="14108" max="14108" width="7.5" style="1" customWidth="1"/>
    <col min="14109" max="14336" width="9" style="1"/>
    <col min="14337" max="14337" width="6.25" style="1" bestFit="1" customWidth="1"/>
    <col min="14338" max="14338" width="11.125" style="1" bestFit="1" customWidth="1"/>
    <col min="14339" max="14339" width="6.25" style="1" customWidth="1"/>
    <col min="14340" max="14350" width="0" style="1" hidden="1" customWidth="1"/>
    <col min="14351" max="14351" width="0.125" style="1" customWidth="1"/>
    <col min="14352" max="14352" width="9" style="1"/>
    <col min="14353" max="14353" width="5.625" style="1" bestFit="1" customWidth="1"/>
    <col min="14354" max="14354" width="5.625" style="1" customWidth="1"/>
    <col min="14355" max="14355" width="5.625" style="1" bestFit="1" customWidth="1"/>
    <col min="14356" max="14358" width="9" style="1"/>
    <col min="14359" max="14359" width="6.875" style="1" bestFit="1" customWidth="1"/>
    <col min="14360" max="14360" width="9" style="1"/>
    <col min="14361" max="14363" width="5.625" style="1" customWidth="1"/>
    <col min="14364" max="14364" width="7.5" style="1" customWidth="1"/>
    <col min="14365" max="14592" width="9" style="1"/>
    <col min="14593" max="14593" width="6.25" style="1" bestFit="1" customWidth="1"/>
    <col min="14594" max="14594" width="11.125" style="1" bestFit="1" customWidth="1"/>
    <col min="14595" max="14595" width="6.25" style="1" customWidth="1"/>
    <col min="14596" max="14606" width="0" style="1" hidden="1" customWidth="1"/>
    <col min="14607" max="14607" width="0.125" style="1" customWidth="1"/>
    <col min="14608" max="14608" width="9" style="1"/>
    <col min="14609" max="14609" width="5.625" style="1" bestFit="1" customWidth="1"/>
    <col min="14610" max="14610" width="5.625" style="1" customWidth="1"/>
    <col min="14611" max="14611" width="5.625" style="1" bestFit="1" customWidth="1"/>
    <col min="14612" max="14614" width="9" style="1"/>
    <col min="14615" max="14615" width="6.875" style="1" bestFit="1" customWidth="1"/>
    <col min="14616" max="14616" width="9" style="1"/>
    <col min="14617" max="14619" width="5.625" style="1" customWidth="1"/>
    <col min="14620" max="14620" width="7.5" style="1" customWidth="1"/>
    <col min="14621" max="14848" width="9" style="1"/>
    <col min="14849" max="14849" width="6.25" style="1" bestFit="1" customWidth="1"/>
    <col min="14850" max="14850" width="11.125" style="1" bestFit="1" customWidth="1"/>
    <col min="14851" max="14851" width="6.25" style="1" customWidth="1"/>
    <col min="14852" max="14862" width="0" style="1" hidden="1" customWidth="1"/>
    <col min="14863" max="14863" width="0.125" style="1" customWidth="1"/>
    <col min="14864" max="14864" width="9" style="1"/>
    <col min="14865" max="14865" width="5.625" style="1" bestFit="1" customWidth="1"/>
    <col min="14866" max="14866" width="5.625" style="1" customWidth="1"/>
    <col min="14867" max="14867" width="5.625" style="1" bestFit="1" customWidth="1"/>
    <col min="14868" max="14870" width="9" style="1"/>
    <col min="14871" max="14871" width="6.875" style="1" bestFit="1" customWidth="1"/>
    <col min="14872" max="14872" width="9" style="1"/>
    <col min="14873" max="14875" width="5.625" style="1" customWidth="1"/>
    <col min="14876" max="14876" width="7.5" style="1" customWidth="1"/>
    <col min="14877" max="15104" width="9" style="1"/>
    <col min="15105" max="15105" width="6.25" style="1" bestFit="1" customWidth="1"/>
    <col min="15106" max="15106" width="11.125" style="1" bestFit="1" customWidth="1"/>
    <col min="15107" max="15107" width="6.25" style="1" customWidth="1"/>
    <col min="15108" max="15118" width="0" style="1" hidden="1" customWidth="1"/>
    <col min="15119" max="15119" width="0.125" style="1" customWidth="1"/>
    <col min="15120" max="15120" width="9" style="1"/>
    <col min="15121" max="15121" width="5.625" style="1" bestFit="1" customWidth="1"/>
    <col min="15122" max="15122" width="5.625" style="1" customWidth="1"/>
    <col min="15123" max="15123" width="5.625" style="1" bestFit="1" customWidth="1"/>
    <col min="15124" max="15126" width="9" style="1"/>
    <col min="15127" max="15127" width="6.875" style="1" bestFit="1" customWidth="1"/>
    <col min="15128" max="15128" width="9" style="1"/>
    <col min="15129" max="15131" width="5.625" style="1" customWidth="1"/>
    <col min="15132" max="15132" width="7.5" style="1" customWidth="1"/>
    <col min="15133" max="15360" width="9" style="1"/>
    <col min="15361" max="15361" width="6.25" style="1" bestFit="1" customWidth="1"/>
    <col min="15362" max="15362" width="11.125" style="1" bestFit="1" customWidth="1"/>
    <col min="15363" max="15363" width="6.25" style="1" customWidth="1"/>
    <col min="15364" max="15374" width="0" style="1" hidden="1" customWidth="1"/>
    <col min="15375" max="15375" width="0.125" style="1" customWidth="1"/>
    <col min="15376" max="15376" width="9" style="1"/>
    <col min="15377" max="15377" width="5.625" style="1" bestFit="1" customWidth="1"/>
    <col min="15378" max="15378" width="5.625" style="1" customWidth="1"/>
    <col min="15379" max="15379" width="5.625" style="1" bestFit="1" customWidth="1"/>
    <col min="15380" max="15382" width="9" style="1"/>
    <col min="15383" max="15383" width="6.875" style="1" bestFit="1" customWidth="1"/>
    <col min="15384" max="15384" width="9" style="1"/>
    <col min="15385" max="15387" width="5.625" style="1" customWidth="1"/>
    <col min="15388" max="15388" width="7.5" style="1" customWidth="1"/>
    <col min="15389" max="15616" width="9" style="1"/>
    <col min="15617" max="15617" width="6.25" style="1" bestFit="1" customWidth="1"/>
    <col min="15618" max="15618" width="11.125" style="1" bestFit="1" customWidth="1"/>
    <col min="15619" max="15619" width="6.25" style="1" customWidth="1"/>
    <col min="15620" max="15630" width="0" style="1" hidden="1" customWidth="1"/>
    <col min="15631" max="15631" width="0.125" style="1" customWidth="1"/>
    <col min="15632" max="15632" width="9" style="1"/>
    <col min="15633" max="15633" width="5.625" style="1" bestFit="1" customWidth="1"/>
    <col min="15634" max="15634" width="5.625" style="1" customWidth="1"/>
    <col min="15635" max="15635" width="5.625" style="1" bestFit="1" customWidth="1"/>
    <col min="15636" max="15638" width="9" style="1"/>
    <col min="15639" max="15639" width="6.875" style="1" bestFit="1" customWidth="1"/>
    <col min="15640" max="15640" width="9" style="1"/>
    <col min="15641" max="15643" width="5.625" style="1" customWidth="1"/>
    <col min="15644" max="15644" width="7.5" style="1" customWidth="1"/>
    <col min="15645" max="15872" width="9" style="1"/>
    <col min="15873" max="15873" width="6.25" style="1" bestFit="1" customWidth="1"/>
    <col min="15874" max="15874" width="11.125" style="1" bestFit="1" customWidth="1"/>
    <col min="15875" max="15875" width="6.25" style="1" customWidth="1"/>
    <col min="15876" max="15886" width="0" style="1" hidden="1" customWidth="1"/>
    <col min="15887" max="15887" width="0.125" style="1" customWidth="1"/>
    <col min="15888" max="15888" width="9" style="1"/>
    <col min="15889" max="15889" width="5.625" style="1" bestFit="1" customWidth="1"/>
    <col min="15890" max="15890" width="5.625" style="1" customWidth="1"/>
    <col min="15891" max="15891" width="5.625" style="1" bestFit="1" customWidth="1"/>
    <col min="15892" max="15894" width="9" style="1"/>
    <col min="15895" max="15895" width="6.875" style="1" bestFit="1" customWidth="1"/>
    <col min="15896" max="15896" width="9" style="1"/>
    <col min="15897" max="15899" width="5.625" style="1" customWidth="1"/>
    <col min="15900" max="15900" width="7.5" style="1" customWidth="1"/>
    <col min="15901" max="16128" width="9" style="1"/>
    <col min="16129" max="16129" width="6.25" style="1" bestFit="1" customWidth="1"/>
    <col min="16130" max="16130" width="11.125" style="1" bestFit="1" customWidth="1"/>
    <col min="16131" max="16131" width="6.25" style="1" customWidth="1"/>
    <col min="16132" max="16142" width="0" style="1" hidden="1" customWidth="1"/>
    <col min="16143" max="16143" width="0.125" style="1" customWidth="1"/>
    <col min="16144" max="16144" width="9" style="1"/>
    <col min="16145" max="16145" width="5.625" style="1" bestFit="1" customWidth="1"/>
    <col min="16146" max="16146" width="5.625" style="1" customWidth="1"/>
    <col min="16147" max="16147" width="5.625" style="1" bestFit="1" customWidth="1"/>
    <col min="16148" max="16150" width="9" style="1"/>
    <col min="16151" max="16151" width="6.875" style="1" bestFit="1" customWidth="1"/>
    <col min="16152" max="16152" width="9" style="1"/>
    <col min="16153" max="16155" width="5.625" style="1" customWidth="1"/>
    <col min="16156" max="16156" width="7.5" style="1" customWidth="1"/>
    <col min="16157" max="16384" width="9" style="1"/>
  </cols>
  <sheetData>
    <row r="1" spans="1:35" ht="13.5" customHeight="1" thickBot="1">
      <c r="D1" s="2" t="s">
        <v>0</v>
      </c>
      <c r="E1" s="2" t="s">
        <v>0</v>
      </c>
      <c r="F1" s="3" t="s">
        <v>0</v>
      </c>
      <c r="G1" s="2" t="s">
        <v>0</v>
      </c>
      <c r="H1" s="2" t="s">
        <v>1</v>
      </c>
      <c r="I1" s="2" t="s">
        <v>1</v>
      </c>
      <c r="J1" s="2" t="s">
        <v>1</v>
      </c>
      <c r="K1" s="2" t="s">
        <v>1</v>
      </c>
      <c r="L1" s="4" t="s">
        <v>2</v>
      </c>
      <c r="M1" s="5"/>
      <c r="N1" s="5"/>
      <c r="O1" s="6"/>
      <c r="P1" s="66" t="s">
        <v>78</v>
      </c>
      <c r="Q1" s="7"/>
      <c r="R1" s="7"/>
      <c r="S1" s="7"/>
      <c r="T1" s="7"/>
      <c r="U1" s="7"/>
      <c r="V1" s="7"/>
      <c r="W1" s="7"/>
      <c r="X1" s="67" t="s">
        <v>83</v>
      </c>
      <c r="Y1" s="8"/>
      <c r="Z1" s="8"/>
      <c r="AA1" s="8"/>
      <c r="AB1" s="8"/>
      <c r="AC1" s="8"/>
      <c r="AD1" s="8"/>
      <c r="AE1" s="8"/>
    </row>
    <row r="2" spans="1:35" ht="12" thickBot="1">
      <c r="C2" s="9" t="s">
        <v>3</v>
      </c>
      <c r="D2" s="10" t="str">
        <f>P2</f>
        <v>kbps</v>
      </c>
      <c r="E2" s="10" t="str">
        <f>R2</f>
        <v>U psnr</v>
      </c>
      <c r="F2" s="10" t="str">
        <f>P2</f>
        <v>kbps</v>
      </c>
      <c r="G2" s="10" t="str">
        <f>S2</f>
        <v>V psnr</v>
      </c>
      <c r="H2" s="10" t="str">
        <f>X2</f>
        <v>kbps</v>
      </c>
      <c r="I2" s="10" t="str">
        <f>Z2</f>
        <v>U psnr</v>
      </c>
      <c r="J2" s="10" t="str">
        <f>X2</f>
        <v>kbps</v>
      </c>
      <c r="K2" s="11" t="str">
        <f>AA2</f>
        <v>V psnr</v>
      </c>
      <c r="L2" s="12" t="s">
        <v>4</v>
      </c>
      <c r="M2" s="13" t="s">
        <v>5</v>
      </c>
      <c r="N2" s="13" t="s">
        <v>6</v>
      </c>
      <c r="O2" s="14" t="s">
        <v>7</v>
      </c>
      <c r="P2" s="13" t="s">
        <v>4</v>
      </c>
      <c r="Q2" s="13" t="s">
        <v>5</v>
      </c>
      <c r="R2" s="13" t="s">
        <v>6</v>
      </c>
      <c r="S2" s="13" t="s">
        <v>7</v>
      </c>
      <c r="T2" s="13" t="s">
        <v>8</v>
      </c>
      <c r="U2" s="13" t="s">
        <v>9</v>
      </c>
      <c r="V2" s="13" t="s">
        <v>10</v>
      </c>
      <c r="W2" s="15">
        <f>IF(COUNTIF(W3:W74,"!"),COUNTIF(W3:W74,"!"),"")</f>
        <v>13</v>
      </c>
      <c r="X2" s="13" t="s">
        <v>4</v>
      </c>
      <c r="Y2" s="13" t="s">
        <v>5</v>
      </c>
      <c r="Z2" s="13" t="s">
        <v>6</v>
      </c>
      <c r="AA2" s="13" t="s">
        <v>7</v>
      </c>
      <c r="AB2" s="13" t="s">
        <v>11</v>
      </c>
      <c r="AC2" s="13" t="s">
        <v>9</v>
      </c>
      <c r="AD2" s="13" t="s">
        <v>10</v>
      </c>
      <c r="AE2" s="16" t="s">
        <v>12</v>
      </c>
      <c r="AF2" s="16" t="s">
        <v>13</v>
      </c>
      <c r="AG2" s="16" t="s">
        <v>14</v>
      </c>
      <c r="AH2" s="16" t="s">
        <v>84</v>
      </c>
      <c r="AI2" s="16" t="s">
        <v>85</v>
      </c>
    </row>
    <row r="3" spans="1:35" ht="12" thickBot="1">
      <c r="A3" s="17" t="s">
        <v>15</v>
      </c>
      <c r="B3" s="17" t="s">
        <v>16</v>
      </c>
      <c r="C3" s="17">
        <v>22</v>
      </c>
      <c r="D3" s="18">
        <f t="shared" ref="D3:D66" si="0">P3</f>
        <v>102034.8</v>
      </c>
      <c r="E3" s="18">
        <f t="shared" ref="E3:E66" si="1">R3</f>
        <v>42.890599999999999</v>
      </c>
      <c r="F3" s="18">
        <f t="shared" ref="F3:F66" si="2">P3</f>
        <v>102034.8</v>
      </c>
      <c r="G3" s="18" t="str">
        <f t="shared" ref="G3:G66" si="3">S3</f>
        <v xml:space="preserve">44.7096			</v>
      </c>
      <c r="H3" s="18">
        <f t="shared" ref="H3:H66" si="4">X3</f>
        <v>100736.88</v>
      </c>
      <c r="I3" s="18">
        <f t="shared" ref="I3:I66" si="5">Z3</f>
        <v>43.533799999999999</v>
      </c>
      <c r="J3" s="18">
        <f t="shared" ref="J3:J66" si="6">X3</f>
        <v>100736.88</v>
      </c>
      <c r="K3" s="19">
        <f t="shared" ref="K3:K66" si="7">AA3</f>
        <v>45.715899999999998</v>
      </c>
      <c r="L3" s="20">
        <v>105780.3248</v>
      </c>
      <c r="M3" s="20">
        <v>43.515099999999997</v>
      </c>
      <c r="N3" s="20">
        <v>42.966799999999999</v>
      </c>
      <c r="O3" s="20">
        <v>44.756599999999999</v>
      </c>
      <c r="P3" s="21">
        <v>102034.8</v>
      </c>
      <c r="Q3" s="21">
        <v>43.362000000000002</v>
      </c>
      <c r="R3" s="21">
        <v>42.890599999999999</v>
      </c>
      <c r="S3" s="21" t="s">
        <v>79</v>
      </c>
      <c r="T3" s="21">
        <v>26.172000000000001</v>
      </c>
      <c r="U3" s="22"/>
      <c r="V3" s="23">
        <f t="shared" ref="V3:V66" si="8">T3/3600</f>
        <v>7.2700000000000004E-3</v>
      </c>
      <c r="W3" s="24" t="str">
        <f>IF(OR(AND(P3="",Q3="",R3="",S3=""),AND(L3=P3,M3=Q3,N3=R3,O3=S3)),"","!")</f>
        <v>!</v>
      </c>
      <c r="X3" s="21">
        <v>100736.88</v>
      </c>
      <c r="Y3" s="21">
        <v>44.644500000000001</v>
      </c>
      <c r="Z3" s="21">
        <v>43.533799999999999</v>
      </c>
      <c r="AA3" s="21">
        <v>45.715899999999998</v>
      </c>
      <c r="AB3" s="21">
        <v>459.35899999999998</v>
      </c>
      <c r="AC3" s="21"/>
      <c r="AD3" s="23">
        <f t="shared" ref="AD3:AD66" si="9">AB3/3600</f>
        <v>0.12759972222222221</v>
      </c>
      <c r="AE3" s="25">
        <f>RBJM($P3:$Q6,X3:Y6)</f>
        <v>-24.330859255115321</v>
      </c>
      <c r="AF3" s="25">
        <f>RBJM($D3:$E6,H3:I6)</f>
        <v>-24.440901790232104</v>
      </c>
      <c r="AG3" s="25">
        <f>RBJM($F3:$G6,J3:K6)</f>
        <v>-32.139004068427269</v>
      </c>
      <c r="AH3" s="25">
        <f>AB3/T3</f>
        <v>17.551543634418461</v>
      </c>
      <c r="AI3" s="25">
        <f>AVERAGE(AH3:AH10)</f>
        <v>11.635660371837698</v>
      </c>
    </row>
    <row r="4" spans="1:35" ht="12" thickBot="1">
      <c r="A4" s="26" t="s">
        <v>17</v>
      </c>
      <c r="B4" s="26" t="s">
        <v>18</v>
      </c>
      <c r="C4" s="26">
        <v>27</v>
      </c>
      <c r="D4" s="18">
        <f t="shared" si="0"/>
        <v>57460.32</v>
      </c>
      <c r="E4" s="18">
        <f t="shared" si="1"/>
        <v>40.223399999999998</v>
      </c>
      <c r="F4" s="18">
        <f t="shared" si="2"/>
        <v>57460.32</v>
      </c>
      <c r="G4" s="18" t="str">
        <f t="shared" si="3"/>
        <v xml:space="preserve">42.2053			</v>
      </c>
      <c r="H4" s="18">
        <f t="shared" si="4"/>
        <v>56079.360000000001</v>
      </c>
      <c r="I4" s="18">
        <f t="shared" si="5"/>
        <v>41.180100000000003</v>
      </c>
      <c r="J4" s="18">
        <f t="shared" si="6"/>
        <v>56079.360000000001</v>
      </c>
      <c r="K4" s="19">
        <f t="shared" si="7"/>
        <v>43.517200000000003</v>
      </c>
      <c r="L4" s="23">
        <v>59825.139199999998</v>
      </c>
      <c r="M4" s="23">
        <v>40.2761</v>
      </c>
      <c r="N4" s="23">
        <v>40.3063</v>
      </c>
      <c r="O4" s="23">
        <v>42.303199999999997</v>
      </c>
      <c r="P4" s="21">
        <v>57460.32</v>
      </c>
      <c r="Q4" s="21">
        <v>40.170200000000001</v>
      </c>
      <c r="R4" s="21">
        <v>40.223399999999998</v>
      </c>
      <c r="S4" s="21" t="s">
        <v>80</v>
      </c>
      <c r="T4" s="21">
        <v>22.625</v>
      </c>
      <c r="U4" s="22"/>
      <c r="V4" s="23">
        <f t="shared" si="8"/>
        <v>6.2847222222222219E-3</v>
      </c>
      <c r="W4" s="27" t="str">
        <f t="shared" ref="W4:W66" si="10">IF(OR(AND(P4="",Q4="",R4="",S4=""),AND(L4=P4,M4=Q4,N4=R4,O4=S4)),"","!")</f>
        <v>!</v>
      </c>
      <c r="X4" s="21">
        <v>56079.360000000001</v>
      </c>
      <c r="Y4" s="21">
        <v>41.463799999999999</v>
      </c>
      <c r="Z4" s="21">
        <v>41.180100000000003</v>
      </c>
      <c r="AA4" s="21">
        <v>43.517200000000003</v>
      </c>
      <c r="AB4" s="21">
        <v>308.54700000000003</v>
      </c>
      <c r="AC4" s="21"/>
      <c r="AD4" s="23">
        <f t="shared" si="9"/>
        <v>8.5707500000000006E-2</v>
      </c>
      <c r="AE4" s="28"/>
      <c r="AF4" s="28"/>
      <c r="AG4" s="28"/>
      <c r="AH4" s="25">
        <f>AB4/T4</f>
        <v>13.637436464088399</v>
      </c>
      <c r="AI4" s="25"/>
    </row>
    <row r="5" spans="1:35" ht="12" thickBot="1">
      <c r="A5" s="26"/>
      <c r="B5" s="26"/>
      <c r="C5" s="26">
        <v>32</v>
      </c>
      <c r="D5" s="18">
        <f t="shared" si="0"/>
        <v>32778.480000000003</v>
      </c>
      <c r="E5" s="18">
        <f t="shared" si="1"/>
        <v>38.336100000000002</v>
      </c>
      <c r="F5" s="18">
        <f t="shared" si="2"/>
        <v>32778.480000000003</v>
      </c>
      <c r="G5" s="18" t="str">
        <f t="shared" si="3"/>
        <v xml:space="preserve">40.3736			</v>
      </c>
      <c r="H5" s="18">
        <f t="shared" si="4"/>
        <v>31529.279999999999</v>
      </c>
      <c r="I5" s="18">
        <f t="shared" si="5"/>
        <v>39.359000000000002</v>
      </c>
      <c r="J5" s="18">
        <f t="shared" si="6"/>
        <v>31529.279999999999</v>
      </c>
      <c r="K5" s="19">
        <f t="shared" si="7"/>
        <v>41.786099999999998</v>
      </c>
      <c r="L5" s="23">
        <v>33767.529600000002</v>
      </c>
      <c r="M5" s="23">
        <v>37.241599999999998</v>
      </c>
      <c r="N5" s="23">
        <v>38.250500000000002</v>
      </c>
      <c r="O5" s="23">
        <v>40.392200000000003</v>
      </c>
      <c r="P5" s="21">
        <v>32778.480000000003</v>
      </c>
      <c r="Q5" s="21">
        <v>37.109699999999997</v>
      </c>
      <c r="R5" s="21">
        <v>38.336100000000002</v>
      </c>
      <c r="S5" s="21" t="s">
        <v>81</v>
      </c>
      <c r="T5" s="21">
        <v>20.265999999999998</v>
      </c>
      <c r="U5" s="22"/>
      <c r="V5" s="23">
        <f t="shared" si="8"/>
        <v>5.6294444444444439E-3</v>
      </c>
      <c r="W5" s="27" t="str">
        <f t="shared" si="10"/>
        <v>!</v>
      </c>
      <c r="X5" s="21">
        <v>31529.279999999999</v>
      </c>
      <c r="Y5" s="21">
        <v>38.471499999999999</v>
      </c>
      <c r="Z5" s="21">
        <v>39.359000000000002</v>
      </c>
      <c r="AA5" s="21">
        <v>41.786099999999998</v>
      </c>
      <c r="AB5" s="21">
        <v>207.328</v>
      </c>
      <c r="AC5" s="21"/>
      <c r="AD5" s="23">
        <f t="shared" si="9"/>
        <v>5.7591111111111114E-2</v>
      </c>
      <c r="AE5" s="28"/>
      <c r="AF5" s="28"/>
      <c r="AG5" s="28"/>
      <c r="AH5" s="25">
        <f>AB5/T5</f>
        <v>10.230336524227772</v>
      </c>
      <c r="AI5" s="25"/>
    </row>
    <row r="6" spans="1:35" ht="12" thickBot="1">
      <c r="A6" s="26"/>
      <c r="B6" s="29"/>
      <c r="C6" s="29">
        <v>37</v>
      </c>
      <c r="D6" s="30">
        <f t="shared" si="0"/>
        <v>18584.88</v>
      </c>
      <c r="E6" s="30">
        <f t="shared" si="1"/>
        <v>37.0441</v>
      </c>
      <c r="F6" s="30">
        <f t="shared" si="2"/>
        <v>18584.88</v>
      </c>
      <c r="G6" s="30" t="str">
        <f t="shared" si="3"/>
        <v xml:space="preserve">39.2012		</v>
      </c>
      <c r="H6" s="30">
        <f t="shared" si="4"/>
        <v>17627.28</v>
      </c>
      <c r="I6" s="30">
        <f t="shared" si="5"/>
        <v>37.383299999999998</v>
      </c>
      <c r="J6" s="30">
        <f t="shared" si="6"/>
        <v>17627.28</v>
      </c>
      <c r="K6" s="31">
        <f t="shared" si="7"/>
        <v>39.445799999999998</v>
      </c>
      <c r="L6" s="32">
        <v>18753.2912</v>
      </c>
      <c r="M6" s="32">
        <v>34.274500000000003</v>
      </c>
      <c r="N6" s="32">
        <v>36.4377</v>
      </c>
      <c r="O6" s="32">
        <v>38.816299999999998</v>
      </c>
      <c r="P6" s="33">
        <v>18584.88</v>
      </c>
      <c r="Q6" s="33">
        <v>34.104799999999997</v>
      </c>
      <c r="R6" s="33">
        <v>37.0441</v>
      </c>
      <c r="S6" s="33" t="s">
        <v>82</v>
      </c>
      <c r="T6" s="33">
        <v>18.562000000000001</v>
      </c>
      <c r="U6" s="34"/>
      <c r="V6" s="32">
        <f t="shared" si="8"/>
        <v>5.1561111111111113E-3</v>
      </c>
      <c r="W6" s="35" t="str">
        <f t="shared" si="10"/>
        <v>!</v>
      </c>
      <c r="X6" s="33">
        <v>17627.28</v>
      </c>
      <c r="Y6" s="33">
        <v>35.437600000000003</v>
      </c>
      <c r="Z6" s="33">
        <v>37.383299999999998</v>
      </c>
      <c r="AA6" s="33">
        <v>39.445799999999998</v>
      </c>
      <c r="AB6" s="33">
        <v>113.078</v>
      </c>
      <c r="AC6" s="33"/>
      <c r="AD6" s="32">
        <f t="shared" si="9"/>
        <v>3.141055555555556E-2</v>
      </c>
      <c r="AE6" s="29"/>
      <c r="AF6" s="29"/>
      <c r="AG6" s="29"/>
      <c r="AH6" s="25">
        <f>AB6/T6</f>
        <v>6.0919081995474622</v>
      </c>
      <c r="AI6" s="25"/>
    </row>
    <row r="7" spans="1:35" ht="12" thickBot="1">
      <c r="A7" s="26"/>
      <c r="B7" s="26" t="s">
        <v>19</v>
      </c>
      <c r="C7" s="17">
        <v>22</v>
      </c>
      <c r="D7" s="18">
        <f t="shared" si="0"/>
        <v>103598</v>
      </c>
      <c r="E7" s="18">
        <f t="shared" si="1"/>
        <v>45.607700000000001</v>
      </c>
      <c r="F7" s="18">
        <f t="shared" si="2"/>
        <v>103598</v>
      </c>
      <c r="G7" s="18">
        <f t="shared" si="3"/>
        <v>45.354199999999999</v>
      </c>
      <c r="H7" s="18">
        <f t="shared" si="4"/>
        <v>104659.68</v>
      </c>
      <c r="I7" s="18">
        <f t="shared" si="5"/>
        <v>46.936199999999999</v>
      </c>
      <c r="J7" s="18">
        <f t="shared" si="6"/>
        <v>104659.68</v>
      </c>
      <c r="K7" s="19">
        <f t="shared" si="7"/>
        <v>46.068899999999999</v>
      </c>
      <c r="L7" s="23">
        <v>107745.1072</v>
      </c>
      <c r="M7" s="23">
        <v>43.4343</v>
      </c>
      <c r="N7" s="23">
        <v>45.640700000000002</v>
      </c>
      <c r="O7" s="23">
        <v>45.311799999999998</v>
      </c>
      <c r="P7" s="36">
        <v>103598</v>
      </c>
      <c r="Q7" s="36">
        <v>43.258000000000003</v>
      </c>
      <c r="R7" s="36">
        <v>45.607700000000001</v>
      </c>
      <c r="S7" s="36">
        <v>45.354199999999999</v>
      </c>
      <c r="T7" s="21">
        <v>26.405999999999999</v>
      </c>
      <c r="U7" s="22"/>
      <c r="V7" s="23">
        <f t="shared" si="8"/>
        <v>7.3349999999999995E-3</v>
      </c>
      <c r="W7" s="27" t="str">
        <f>IF(OR(AND(P7="",Q7="",R7="",S7=""),AND(L7=P7,M7=Q7,N7=R7,O7=S7)),"","!")</f>
        <v>!</v>
      </c>
      <c r="X7" s="36">
        <v>104659.68</v>
      </c>
      <c r="Y7" s="36">
        <v>44.661499999999997</v>
      </c>
      <c r="Z7" s="36">
        <v>46.936199999999999</v>
      </c>
      <c r="AA7" s="36">
        <v>46.068899999999999</v>
      </c>
      <c r="AB7" s="21">
        <v>444.65600000000001</v>
      </c>
      <c r="AC7" s="21"/>
      <c r="AD7" s="23">
        <f t="shared" si="9"/>
        <v>0.12351555555555556</v>
      </c>
      <c r="AE7" s="25">
        <f>RBJM($P7:$Q10,X7:Y10)</f>
        <v>-21.639607906467294</v>
      </c>
      <c r="AF7" s="25">
        <f>RBJM($D7:$E10,H7:I10)</f>
        <v>-40.998101869843907</v>
      </c>
      <c r="AG7" s="25">
        <f>RBJM($F7:$G10,J7:K10)</f>
        <v>-38.018501670515171</v>
      </c>
      <c r="AH7" s="25">
        <f>AB7/T7</f>
        <v>16.83920321139135</v>
      </c>
      <c r="AI7" s="25"/>
    </row>
    <row r="8" spans="1:35" ht="12" thickBot="1">
      <c r="A8" s="26"/>
      <c r="B8" s="26" t="s">
        <v>20</v>
      </c>
      <c r="C8" s="26">
        <v>27</v>
      </c>
      <c r="D8" s="18">
        <f t="shared" si="0"/>
        <v>60212.160000000003</v>
      </c>
      <c r="E8" s="18">
        <f t="shared" si="1"/>
        <v>43.211500000000001</v>
      </c>
      <c r="F8" s="18">
        <f t="shared" si="2"/>
        <v>60212.160000000003</v>
      </c>
      <c r="G8" s="18">
        <f t="shared" si="3"/>
        <v>43.522399999999998</v>
      </c>
      <c r="H8" s="18">
        <f t="shared" si="4"/>
        <v>60684.24</v>
      </c>
      <c r="I8" s="18">
        <f t="shared" si="5"/>
        <v>45.1297</v>
      </c>
      <c r="J8" s="18">
        <f t="shared" si="6"/>
        <v>60684.24</v>
      </c>
      <c r="K8" s="19">
        <f t="shared" si="7"/>
        <v>44.814</v>
      </c>
      <c r="L8" s="23">
        <v>63156.767999999996</v>
      </c>
      <c r="M8" s="23">
        <v>39.934199999999997</v>
      </c>
      <c r="N8" s="23">
        <v>43.405500000000004</v>
      </c>
      <c r="O8" s="23">
        <v>43.6325</v>
      </c>
      <c r="P8" s="21">
        <v>60212.160000000003</v>
      </c>
      <c r="Q8" s="21">
        <v>39.831099999999999</v>
      </c>
      <c r="R8" s="21">
        <v>43.211500000000001</v>
      </c>
      <c r="S8" s="21">
        <v>43.522399999999998</v>
      </c>
      <c r="T8" s="21">
        <v>23.422000000000001</v>
      </c>
      <c r="U8" s="22"/>
      <c r="V8" s="23">
        <f t="shared" si="8"/>
        <v>6.5061111111111109E-3</v>
      </c>
      <c r="W8" s="27" t="str">
        <f t="shared" si="10"/>
        <v>!</v>
      </c>
      <c r="X8" s="21">
        <v>60684.24</v>
      </c>
      <c r="Y8" s="21">
        <v>41.199300000000001</v>
      </c>
      <c r="Z8" s="21">
        <v>45.1297</v>
      </c>
      <c r="AA8" s="21">
        <v>44.814</v>
      </c>
      <c r="AB8" s="21">
        <v>299.15600000000001</v>
      </c>
      <c r="AC8" s="21"/>
      <c r="AD8" s="23">
        <f t="shared" si="9"/>
        <v>8.3098888888888889E-2</v>
      </c>
      <c r="AE8" s="28"/>
      <c r="AF8" s="28"/>
      <c r="AG8" s="28"/>
      <c r="AH8" s="25">
        <f>AB8/T8</f>
        <v>12.772436171121168</v>
      </c>
      <c r="AI8" s="25"/>
    </row>
    <row r="9" spans="1:35" ht="12" thickBot="1">
      <c r="A9" s="26"/>
      <c r="B9" s="26"/>
      <c r="C9" s="26">
        <v>32</v>
      </c>
      <c r="D9" s="18">
        <f t="shared" si="0"/>
        <v>34234.800000000003</v>
      </c>
      <c r="E9" s="18">
        <f t="shared" si="1"/>
        <v>41.192</v>
      </c>
      <c r="F9" s="18">
        <f t="shared" si="2"/>
        <v>34234.800000000003</v>
      </c>
      <c r="G9" s="18">
        <f t="shared" si="3"/>
        <v>41.835500000000003</v>
      </c>
      <c r="H9" s="18">
        <f t="shared" si="4"/>
        <v>33904.800000000003</v>
      </c>
      <c r="I9" s="18">
        <f t="shared" si="5"/>
        <v>43.219200000000001</v>
      </c>
      <c r="J9" s="18">
        <f t="shared" si="6"/>
        <v>33904.800000000003</v>
      </c>
      <c r="K9" s="19">
        <f t="shared" si="7"/>
        <v>43.369500000000002</v>
      </c>
      <c r="L9" s="23">
        <v>36189.193599999999</v>
      </c>
      <c r="M9" s="23">
        <v>36.848500000000001</v>
      </c>
      <c r="N9" s="23">
        <v>41.409500000000001</v>
      </c>
      <c r="O9" s="23">
        <v>42.0473</v>
      </c>
      <c r="P9" s="21">
        <v>34234.800000000003</v>
      </c>
      <c r="Q9" s="21">
        <v>36.7014</v>
      </c>
      <c r="R9" s="21">
        <v>41.192</v>
      </c>
      <c r="S9" s="21">
        <v>41.835500000000003</v>
      </c>
      <c r="T9" s="21">
        <v>20.547000000000001</v>
      </c>
      <c r="U9" s="22"/>
      <c r="V9" s="23">
        <f t="shared" si="8"/>
        <v>5.7074999999999999E-3</v>
      </c>
      <c r="W9" s="27" t="str">
        <f t="shared" si="10"/>
        <v>!</v>
      </c>
      <c r="X9" s="21">
        <v>33904.800000000003</v>
      </c>
      <c r="Y9" s="21">
        <v>38.040199999999999</v>
      </c>
      <c r="Z9" s="21">
        <v>43.219200000000001</v>
      </c>
      <c r="AA9" s="21">
        <v>43.369500000000002</v>
      </c>
      <c r="AB9" s="21">
        <v>204.953</v>
      </c>
      <c r="AC9" s="21"/>
      <c r="AD9" s="23">
        <f t="shared" si="9"/>
        <v>5.6931388888888892E-2</v>
      </c>
      <c r="AE9" s="28"/>
      <c r="AF9" s="28"/>
      <c r="AG9" s="28"/>
      <c r="AH9" s="25">
        <f>AB9/T9</f>
        <v>9.974838175889424</v>
      </c>
      <c r="AI9" s="25"/>
    </row>
    <row r="10" spans="1:35" ht="12" thickBot="1">
      <c r="A10" s="29"/>
      <c r="B10" s="29"/>
      <c r="C10" s="29">
        <v>37</v>
      </c>
      <c r="D10" s="30">
        <f t="shared" si="0"/>
        <v>19961.759999999998</v>
      </c>
      <c r="E10" s="30">
        <f t="shared" si="1"/>
        <v>39.724899999999998</v>
      </c>
      <c r="F10" s="30">
        <f t="shared" si="2"/>
        <v>19961.759999999998</v>
      </c>
      <c r="G10" s="30">
        <f t="shared" si="3"/>
        <v>40.576700000000002</v>
      </c>
      <c r="H10" s="30">
        <f t="shared" si="4"/>
        <v>18883.919999999998</v>
      </c>
      <c r="I10" s="30">
        <f t="shared" si="5"/>
        <v>40.830800000000004</v>
      </c>
      <c r="J10" s="30">
        <f t="shared" si="6"/>
        <v>18883.919999999998</v>
      </c>
      <c r="K10" s="31">
        <f t="shared" si="7"/>
        <v>41.5351</v>
      </c>
      <c r="L10" s="32">
        <v>21029.235199999999</v>
      </c>
      <c r="M10" s="32">
        <v>33.999699999999997</v>
      </c>
      <c r="N10" s="32">
        <v>39.638399999999997</v>
      </c>
      <c r="O10" s="32">
        <v>40.451500000000003</v>
      </c>
      <c r="P10" s="33">
        <v>19961.759999999998</v>
      </c>
      <c r="Q10" s="33">
        <v>33.852499999999999</v>
      </c>
      <c r="R10" s="33">
        <v>39.724899999999998</v>
      </c>
      <c r="S10" s="33">
        <v>40.576700000000002</v>
      </c>
      <c r="T10" s="33">
        <v>18.922000000000001</v>
      </c>
      <c r="U10" s="34"/>
      <c r="V10" s="32">
        <f t="shared" si="8"/>
        <v>5.2561111111111116E-3</v>
      </c>
      <c r="W10" s="35" t="str">
        <f t="shared" si="10"/>
        <v>!</v>
      </c>
      <c r="X10" s="33">
        <v>18883.919999999998</v>
      </c>
      <c r="Y10" s="33">
        <v>35.0899</v>
      </c>
      <c r="Z10" s="33">
        <v>40.830800000000004</v>
      </c>
      <c r="AA10" s="33">
        <v>41.5351</v>
      </c>
      <c r="AB10" s="33">
        <v>113.297</v>
      </c>
      <c r="AC10" s="33"/>
      <c r="AD10" s="32">
        <f t="shared" si="9"/>
        <v>3.1471388888888889E-2</v>
      </c>
      <c r="AE10" s="29"/>
      <c r="AF10" s="29"/>
      <c r="AG10" s="29"/>
      <c r="AH10" s="25">
        <f>AB10/T10</f>
        <v>5.9875805940175457</v>
      </c>
      <c r="AI10" s="25"/>
    </row>
    <row r="11" spans="1:35" ht="12" thickBot="1">
      <c r="A11" s="17" t="s">
        <v>21</v>
      </c>
      <c r="B11" s="17" t="s">
        <v>22</v>
      </c>
      <c r="C11" s="17">
        <v>22</v>
      </c>
      <c r="D11" s="18">
        <f t="shared" si="0"/>
        <v>0</v>
      </c>
      <c r="E11" s="18">
        <f t="shared" si="1"/>
        <v>0</v>
      </c>
      <c r="F11" s="18">
        <f t="shared" si="2"/>
        <v>0</v>
      </c>
      <c r="G11" s="18">
        <f t="shared" si="3"/>
        <v>0</v>
      </c>
      <c r="H11" s="18">
        <f t="shared" si="4"/>
        <v>0</v>
      </c>
      <c r="I11" s="18">
        <f t="shared" si="5"/>
        <v>0</v>
      </c>
      <c r="J11" s="18">
        <f t="shared" si="6"/>
        <v>0</v>
      </c>
      <c r="K11" s="19">
        <f t="shared" si="7"/>
        <v>0</v>
      </c>
      <c r="L11" s="23">
        <v>22650.401600000001</v>
      </c>
      <c r="M11" s="23">
        <v>42.774700000000003</v>
      </c>
      <c r="N11" s="23">
        <v>44.543999999999997</v>
      </c>
      <c r="O11" s="23">
        <v>45.990900000000003</v>
      </c>
      <c r="P11" s="21"/>
      <c r="Q11" s="21"/>
      <c r="R11" s="21"/>
      <c r="S11" s="21"/>
      <c r="T11" s="21"/>
      <c r="U11" s="22"/>
      <c r="V11" s="23">
        <f t="shared" si="8"/>
        <v>0</v>
      </c>
      <c r="W11" s="27" t="str">
        <f>IF(OR(AND(P11="",Q11="",R11="",S11=""),AND(L11=P11,M11=Q11,N11=R11,O11=S11)),"","!")</f>
        <v/>
      </c>
      <c r="X11" s="21"/>
      <c r="Y11" s="21"/>
      <c r="Z11" s="21"/>
      <c r="AA11" s="21"/>
      <c r="AB11" s="21"/>
      <c r="AC11" s="21"/>
      <c r="AD11" s="23">
        <f t="shared" si="9"/>
        <v>0</v>
      </c>
      <c r="AE11" s="25" t="e">
        <f>RBJM($P11:$Q14,X11:Y14)</f>
        <v>#VALUE!</v>
      </c>
      <c r="AF11" s="25" t="e">
        <f>RBJM($D11:$E14,H11:I14)</f>
        <v>#VALUE!</v>
      </c>
      <c r="AG11" s="25" t="e">
        <f>RBJM($F11:$G14,J11:K14)</f>
        <v>#VALUE!</v>
      </c>
      <c r="AH11" s="25" t="e">
        <f>AB11/T11</f>
        <v>#DIV/0!</v>
      </c>
      <c r="AI11" s="25"/>
    </row>
    <row r="12" spans="1:35" ht="12" thickBot="1">
      <c r="A12" s="26" t="s">
        <v>23</v>
      </c>
      <c r="B12" s="26" t="s">
        <v>24</v>
      </c>
      <c r="C12" s="26">
        <v>27</v>
      </c>
      <c r="D12" s="18">
        <f t="shared" si="0"/>
        <v>0</v>
      </c>
      <c r="E12" s="18">
        <f t="shared" si="1"/>
        <v>0</v>
      </c>
      <c r="F12" s="18">
        <f t="shared" si="2"/>
        <v>0</v>
      </c>
      <c r="G12" s="18">
        <f t="shared" si="3"/>
        <v>0</v>
      </c>
      <c r="H12" s="18">
        <f t="shared" si="4"/>
        <v>0</v>
      </c>
      <c r="I12" s="18">
        <f t="shared" si="5"/>
        <v>0</v>
      </c>
      <c r="J12" s="18">
        <f t="shared" si="6"/>
        <v>0</v>
      </c>
      <c r="K12" s="19">
        <f t="shared" si="7"/>
        <v>0</v>
      </c>
      <c r="L12" s="23">
        <v>12628.0736</v>
      </c>
      <c r="M12" s="23">
        <v>41.105800000000002</v>
      </c>
      <c r="N12" s="23">
        <v>42.779499999999999</v>
      </c>
      <c r="O12" s="23">
        <v>43.738399999999999</v>
      </c>
      <c r="P12" s="21"/>
      <c r="Q12" s="21"/>
      <c r="R12" s="21"/>
      <c r="S12" s="21"/>
      <c r="T12" s="21"/>
      <c r="U12" s="22"/>
      <c r="V12" s="23">
        <f t="shared" si="8"/>
        <v>0</v>
      </c>
      <c r="W12" s="27" t="str">
        <f t="shared" si="10"/>
        <v/>
      </c>
      <c r="X12" s="21"/>
      <c r="Y12" s="21"/>
      <c r="Z12" s="21"/>
      <c r="AA12" s="21"/>
      <c r="AB12" s="21"/>
      <c r="AC12" s="21"/>
      <c r="AD12" s="23">
        <f t="shared" si="9"/>
        <v>0</v>
      </c>
      <c r="AE12" s="28"/>
      <c r="AF12" s="28"/>
      <c r="AG12" s="28"/>
      <c r="AH12" s="25" t="e">
        <f>AB12/T12</f>
        <v>#DIV/0!</v>
      </c>
      <c r="AI12" s="25"/>
    </row>
    <row r="13" spans="1:35" ht="12" thickBot="1">
      <c r="A13" s="26"/>
      <c r="B13" s="26"/>
      <c r="C13" s="26">
        <v>32</v>
      </c>
      <c r="D13" s="18">
        <f t="shared" si="0"/>
        <v>0</v>
      </c>
      <c r="E13" s="18">
        <f t="shared" si="1"/>
        <v>0</v>
      </c>
      <c r="F13" s="18">
        <f t="shared" si="2"/>
        <v>0</v>
      </c>
      <c r="G13" s="18">
        <f t="shared" si="3"/>
        <v>0</v>
      </c>
      <c r="H13" s="18">
        <f t="shared" si="4"/>
        <v>0</v>
      </c>
      <c r="I13" s="18">
        <f t="shared" si="5"/>
        <v>0</v>
      </c>
      <c r="J13" s="18">
        <f t="shared" si="6"/>
        <v>0</v>
      </c>
      <c r="K13" s="19">
        <f t="shared" si="7"/>
        <v>0</v>
      </c>
      <c r="L13" s="23">
        <v>7078.5015999999996</v>
      </c>
      <c r="M13" s="23">
        <v>39.106699999999996</v>
      </c>
      <c r="N13" s="23">
        <v>41.150500000000001</v>
      </c>
      <c r="O13" s="23">
        <v>41.970199999999998</v>
      </c>
      <c r="P13" s="21"/>
      <c r="Q13" s="21"/>
      <c r="R13" s="21"/>
      <c r="S13" s="21"/>
      <c r="T13" s="21"/>
      <c r="U13" s="22"/>
      <c r="V13" s="23">
        <f t="shared" si="8"/>
        <v>0</v>
      </c>
      <c r="W13" s="27" t="str">
        <f t="shared" si="10"/>
        <v/>
      </c>
      <c r="X13" s="21"/>
      <c r="Y13" s="21"/>
      <c r="Z13" s="21"/>
      <c r="AA13" s="21"/>
      <c r="AB13" s="21"/>
      <c r="AC13" s="21"/>
      <c r="AD13" s="23">
        <f t="shared" si="9"/>
        <v>0</v>
      </c>
      <c r="AE13" s="28"/>
      <c r="AF13" s="28"/>
      <c r="AG13" s="28"/>
      <c r="AH13" s="25" t="e">
        <f>AB13/T13</f>
        <v>#DIV/0!</v>
      </c>
      <c r="AI13" s="25"/>
    </row>
    <row r="14" spans="1:35" ht="12" thickBot="1">
      <c r="A14" s="26"/>
      <c r="B14" s="29"/>
      <c r="C14" s="29">
        <v>37</v>
      </c>
      <c r="D14" s="30">
        <f t="shared" si="0"/>
        <v>0</v>
      </c>
      <c r="E14" s="30">
        <f t="shared" si="1"/>
        <v>0</v>
      </c>
      <c r="F14" s="30">
        <f t="shared" si="2"/>
        <v>0</v>
      </c>
      <c r="G14" s="30">
        <f t="shared" si="3"/>
        <v>0</v>
      </c>
      <c r="H14" s="30">
        <f t="shared" si="4"/>
        <v>0</v>
      </c>
      <c r="I14" s="30">
        <f t="shared" si="5"/>
        <v>0</v>
      </c>
      <c r="J14" s="30">
        <f t="shared" si="6"/>
        <v>0</v>
      </c>
      <c r="K14" s="31">
        <f t="shared" si="7"/>
        <v>0</v>
      </c>
      <c r="L14" s="32">
        <v>3919.6864</v>
      </c>
      <c r="M14" s="32">
        <v>36.752000000000002</v>
      </c>
      <c r="N14" s="32">
        <v>39.583500000000001</v>
      </c>
      <c r="O14" s="32">
        <v>40.694400000000002</v>
      </c>
      <c r="P14" s="33"/>
      <c r="Q14" s="33"/>
      <c r="R14" s="33"/>
      <c r="S14" s="33"/>
      <c r="T14" s="33"/>
      <c r="U14" s="34"/>
      <c r="V14" s="32">
        <f t="shared" si="8"/>
        <v>0</v>
      </c>
      <c r="W14" s="37" t="str">
        <f t="shared" si="10"/>
        <v/>
      </c>
      <c r="X14" s="33"/>
      <c r="Y14" s="33"/>
      <c r="Z14" s="33"/>
      <c r="AA14" s="33"/>
      <c r="AB14" s="33"/>
      <c r="AC14" s="33"/>
      <c r="AD14" s="32">
        <f t="shared" si="9"/>
        <v>0</v>
      </c>
      <c r="AE14" s="29"/>
      <c r="AF14" s="29"/>
      <c r="AG14" s="29"/>
      <c r="AH14" s="25" t="e">
        <f>AB14/T14</f>
        <v>#DIV/0!</v>
      </c>
      <c r="AI14" s="25"/>
    </row>
    <row r="15" spans="1:35" ht="12" thickBot="1">
      <c r="A15" s="26"/>
      <c r="B15" s="17" t="s">
        <v>25</v>
      </c>
      <c r="C15" s="17">
        <v>22</v>
      </c>
      <c r="D15" s="38">
        <f t="shared" si="0"/>
        <v>0</v>
      </c>
      <c r="E15" s="38">
        <f t="shared" si="1"/>
        <v>0</v>
      </c>
      <c r="F15" s="38">
        <f t="shared" si="2"/>
        <v>0</v>
      </c>
      <c r="G15" s="38">
        <f t="shared" si="3"/>
        <v>0</v>
      </c>
      <c r="H15" s="38">
        <f t="shared" si="4"/>
        <v>0</v>
      </c>
      <c r="I15" s="38">
        <f t="shared" si="5"/>
        <v>0</v>
      </c>
      <c r="J15" s="38">
        <f t="shared" si="6"/>
        <v>0</v>
      </c>
      <c r="K15" s="39">
        <f t="shared" si="7"/>
        <v>0</v>
      </c>
      <c r="L15" s="20">
        <v>54367.452799999999</v>
      </c>
      <c r="M15" s="20">
        <v>41.817500000000003</v>
      </c>
      <c r="N15" s="20">
        <v>43.369500000000002</v>
      </c>
      <c r="O15" s="20">
        <v>44.115299999999998</v>
      </c>
      <c r="P15" s="36"/>
      <c r="Q15" s="36"/>
      <c r="R15" s="36"/>
      <c r="S15" s="36"/>
      <c r="T15" s="36"/>
      <c r="U15" s="22"/>
      <c r="V15" s="20">
        <f t="shared" si="8"/>
        <v>0</v>
      </c>
      <c r="W15" s="24" t="str">
        <f>IF(OR(AND(P15="",Q15="",R15="",S15=""),AND(L15=P15,M15=Q15,N15=R15,O15=S15)),"","!")</f>
        <v/>
      </c>
      <c r="X15" s="36"/>
      <c r="Y15" s="36"/>
      <c r="Z15" s="36"/>
      <c r="AA15" s="36"/>
      <c r="AB15" s="36"/>
      <c r="AC15" s="36"/>
      <c r="AD15" s="20">
        <f t="shared" si="9"/>
        <v>0</v>
      </c>
      <c r="AE15" s="25" t="e">
        <f>RBJM($P15:$Q18,X15:Y18)</f>
        <v>#VALUE!</v>
      </c>
      <c r="AF15" s="25" t="e">
        <f>RBJM($D15:$E18,H15:I18)</f>
        <v>#VALUE!</v>
      </c>
      <c r="AG15" s="25" t="e">
        <f>RBJM($F15:$G18,J15:K18)</f>
        <v>#VALUE!</v>
      </c>
      <c r="AH15" s="25" t="e">
        <f t="shared" ref="AH15:AH21" si="11">AB15/T15</f>
        <v>#DIV/0!</v>
      </c>
      <c r="AI15" s="25"/>
    </row>
    <row r="16" spans="1:35" ht="12" thickBot="1">
      <c r="A16" s="26"/>
      <c r="B16" s="26" t="s">
        <v>26</v>
      </c>
      <c r="C16" s="26">
        <v>27</v>
      </c>
      <c r="D16" s="18">
        <f t="shared" si="0"/>
        <v>0</v>
      </c>
      <c r="E16" s="18">
        <f t="shared" si="1"/>
        <v>0</v>
      </c>
      <c r="F16" s="18">
        <f t="shared" si="2"/>
        <v>0</v>
      </c>
      <c r="G16" s="18">
        <f t="shared" si="3"/>
        <v>0</v>
      </c>
      <c r="H16" s="18">
        <f t="shared" si="4"/>
        <v>0</v>
      </c>
      <c r="I16" s="18">
        <f t="shared" si="5"/>
        <v>0</v>
      </c>
      <c r="J16" s="18">
        <f t="shared" si="6"/>
        <v>0</v>
      </c>
      <c r="K16" s="19">
        <f t="shared" si="7"/>
        <v>0</v>
      </c>
      <c r="L16" s="23">
        <v>29723.1168</v>
      </c>
      <c r="M16" s="23">
        <v>38.665799999999997</v>
      </c>
      <c r="N16" s="23">
        <v>40.802500000000002</v>
      </c>
      <c r="O16" s="23">
        <v>41.413800000000002</v>
      </c>
      <c r="P16" s="21"/>
      <c r="Q16" s="21"/>
      <c r="R16" s="21"/>
      <c r="S16" s="21"/>
      <c r="T16" s="21"/>
      <c r="U16" s="22"/>
      <c r="V16" s="23">
        <f t="shared" si="8"/>
        <v>0</v>
      </c>
      <c r="W16" s="27" t="str">
        <f t="shared" si="10"/>
        <v/>
      </c>
      <c r="X16" s="21"/>
      <c r="Y16" s="21"/>
      <c r="Z16" s="21"/>
      <c r="AA16" s="21"/>
      <c r="AB16" s="21"/>
      <c r="AC16" s="21"/>
      <c r="AD16" s="23">
        <f t="shared" si="9"/>
        <v>0</v>
      </c>
      <c r="AE16" s="28"/>
      <c r="AF16" s="28"/>
      <c r="AG16" s="28"/>
      <c r="AH16" s="25" t="e">
        <f t="shared" si="11"/>
        <v>#DIV/0!</v>
      </c>
      <c r="AI16" s="25"/>
    </row>
    <row r="17" spans="1:35" ht="12" thickBot="1">
      <c r="A17" s="26"/>
      <c r="B17" s="26"/>
      <c r="C17" s="26">
        <v>32</v>
      </c>
      <c r="D17" s="18">
        <f t="shared" si="0"/>
        <v>0</v>
      </c>
      <c r="E17" s="18">
        <f t="shared" si="1"/>
        <v>0</v>
      </c>
      <c r="F17" s="18">
        <f t="shared" si="2"/>
        <v>0</v>
      </c>
      <c r="G17" s="18">
        <f t="shared" si="3"/>
        <v>0</v>
      </c>
      <c r="H17" s="18">
        <f t="shared" si="4"/>
        <v>0</v>
      </c>
      <c r="I17" s="18">
        <f t="shared" si="5"/>
        <v>0</v>
      </c>
      <c r="J17" s="18">
        <f t="shared" si="6"/>
        <v>0</v>
      </c>
      <c r="K17" s="19">
        <f t="shared" si="7"/>
        <v>0</v>
      </c>
      <c r="L17" s="23">
        <v>15504.772000000001</v>
      </c>
      <c r="M17" s="23">
        <v>35.685600000000001</v>
      </c>
      <c r="N17" s="23">
        <v>38.665700000000001</v>
      </c>
      <c r="O17" s="23">
        <v>39.662599999999998</v>
      </c>
      <c r="P17" s="21"/>
      <c r="Q17" s="21"/>
      <c r="R17" s="21"/>
      <c r="S17" s="21"/>
      <c r="T17" s="21"/>
      <c r="U17" s="22"/>
      <c r="V17" s="23">
        <f t="shared" si="8"/>
        <v>0</v>
      </c>
      <c r="W17" s="27" t="str">
        <f t="shared" si="10"/>
        <v/>
      </c>
      <c r="X17" s="21"/>
      <c r="Y17" s="21"/>
      <c r="Z17" s="21"/>
      <c r="AA17" s="21"/>
      <c r="AB17" s="21"/>
      <c r="AC17" s="21"/>
      <c r="AD17" s="23">
        <f t="shared" si="9"/>
        <v>0</v>
      </c>
      <c r="AE17" s="28"/>
      <c r="AF17" s="28"/>
      <c r="AG17" s="28"/>
      <c r="AH17" s="25" t="e">
        <f t="shared" si="11"/>
        <v>#DIV/0!</v>
      </c>
      <c r="AI17" s="25"/>
    </row>
    <row r="18" spans="1:35" ht="12" thickBot="1">
      <c r="A18" s="26"/>
      <c r="B18" s="29"/>
      <c r="C18" s="29">
        <v>37</v>
      </c>
      <c r="D18" s="30">
        <f t="shared" si="0"/>
        <v>0</v>
      </c>
      <c r="E18" s="30">
        <f t="shared" si="1"/>
        <v>0</v>
      </c>
      <c r="F18" s="30">
        <f t="shared" si="2"/>
        <v>0</v>
      </c>
      <c r="G18" s="30">
        <f t="shared" si="3"/>
        <v>0</v>
      </c>
      <c r="H18" s="30">
        <f t="shared" si="4"/>
        <v>0</v>
      </c>
      <c r="I18" s="30">
        <f t="shared" si="5"/>
        <v>0</v>
      </c>
      <c r="J18" s="30">
        <f t="shared" si="6"/>
        <v>0</v>
      </c>
      <c r="K18" s="31">
        <f t="shared" si="7"/>
        <v>0</v>
      </c>
      <c r="L18" s="32">
        <v>7619.0007999999998</v>
      </c>
      <c r="M18" s="32">
        <v>32.913899999999998</v>
      </c>
      <c r="N18" s="32">
        <v>36.850299999999997</v>
      </c>
      <c r="O18" s="32">
        <v>38.5593</v>
      </c>
      <c r="P18" s="33"/>
      <c r="Q18" s="33"/>
      <c r="R18" s="33"/>
      <c r="S18" s="33"/>
      <c r="T18" s="33"/>
      <c r="U18" s="34"/>
      <c r="V18" s="32">
        <f t="shared" si="8"/>
        <v>0</v>
      </c>
      <c r="W18" s="37" t="str">
        <f t="shared" si="10"/>
        <v/>
      </c>
      <c r="X18" s="33"/>
      <c r="Y18" s="33"/>
      <c r="Z18" s="33"/>
      <c r="AA18" s="33"/>
      <c r="AB18" s="33"/>
      <c r="AC18" s="33"/>
      <c r="AD18" s="32">
        <f t="shared" si="9"/>
        <v>0</v>
      </c>
      <c r="AE18" s="29"/>
      <c r="AF18" s="29"/>
      <c r="AG18" s="29"/>
      <c r="AH18" s="25" t="e">
        <f t="shared" si="11"/>
        <v>#DIV/0!</v>
      </c>
      <c r="AI18" s="25"/>
    </row>
    <row r="19" spans="1:35" ht="12" thickBot="1">
      <c r="A19" s="26"/>
      <c r="B19" s="17" t="s">
        <v>27</v>
      </c>
      <c r="C19" s="17">
        <v>22</v>
      </c>
      <c r="D19" s="38">
        <f t="shared" si="0"/>
        <v>0</v>
      </c>
      <c r="E19" s="38">
        <f t="shared" si="1"/>
        <v>0</v>
      </c>
      <c r="F19" s="38">
        <f t="shared" si="2"/>
        <v>0</v>
      </c>
      <c r="G19" s="38">
        <f t="shared" si="3"/>
        <v>0</v>
      </c>
      <c r="H19" s="38">
        <f t="shared" si="4"/>
        <v>0</v>
      </c>
      <c r="I19" s="38">
        <f t="shared" si="5"/>
        <v>0</v>
      </c>
      <c r="J19" s="38">
        <f t="shared" si="6"/>
        <v>0</v>
      </c>
      <c r="K19" s="39">
        <f t="shared" si="7"/>
        <v>0</v>
      </c>
      <c r="L19" s="20">
        <v>110402.7144</v>
      </c>
      <c r="M19" s="20">
        <v>40.726500000000001</v>
      </c>
      <c r="N19" s="20">
        <v>41.792900000000003</v>
      </c>
      <c r="O19" s="20">
        <v>44.114600000000003</v>
      </c>
      <c r="P19" s="36"/>
      <c r="Q19" s="36"/>
      <c r="R19" s="36"/>
      <c r="S19" s="36"/>
      <c r="T19" s="36"/>
      <c r="U19" s="22"/>
      <c r="V19" s="20">
        <f t="shared" si="8"/>
        <v>0</v>
      </c>
      <c r="W19" s="24" t="str">
        <f>IF(OR(AND(P19="",Q19="",R19="",S19=""),AND(L19=P19,M19=Q19,N19=R19,O19=S19)),"","!")</f>
        <v/>
      </c>
      <c r="X19" s="36"/>
      <c r="Y19" s="36"/>
      <c r="Z19" s="36"/>
      <c r="AA19" s="36"/>
      <c r="AB19" s="36"/>
      <c r="AC19" s="36"/>
      <c r="AD19" s="20">
        <f t="shared" si="9"/>
        <v>0</v>
      </c>
      <c r="AE19" s="25" t="e">
        <f>RBJM($P19:$Q22,X19:Y22)</f>
        <v>#VALUE!</v>
      </c>
      <c r="AF19" s="25" t="e">
        <f>RBJM($D19:$E22,H19:I22)</f>
        <v>#VALUE!</v>
      </c>
      <c r="AG19" s="25" t="e">
        <f>RBJM($F19:$G22,J19:K22)</f>
        <v>#VALUE!</v>
      </c>
      <c r="AH19" s="25" t="e">
        <f t="shared" si="11"/>
        <v>#DIV/0!</v>
      </c>
      <c r="AI19" s="25"/>
    </row>
    <row r="20" spans="1:35" ht="12" thickBot="1">
      <c r="A20" s="26"/>
      <c r="B20" s="26" t="s">
        <v>28</v>
      </c>
      <c r="C20" s="26">
        <v>27</v>
      </c>
      <c r="D20" s="18">
        <f t="shared" si="0"/>
        <v>0</v>
      </c>
      <c r="E20" s="18">
        <f t="shared" si="1"/>
        <v>0</v>
      </c>
      <c r="F20" s="18">
        <f t="shared" si="2"/>
        <v>0</v>
      </c>
      <c r="G20" s="18">
        <f t="shared" si="3"/>
        <v>0</v>
      </c>
      <c r="H20" s="18">
        <f t="shared" si="4"/>
        <v>0</v>
      </c>
      <c r="I20" s="18">
        <f t="shared" si="5"/>
        <v>0</v>
      </c>
      <c r="J20" s="18">
        <f t="shared" si="6"/>
        <v>0</v>
      </c>
      <c r="K20" s="19">
        <f t="shared" si="7"/>
        <v>0</v>
      </c>
      <c r="L20" s="23">
        <v>50857.481599999999</v>
      </c>
      <c r="M20" s="23">
        <v>37.984200000000001</v>
      </c>
      <c r="N20" s="23">
        <v>39.485399999999998</v>
      </c>
      <c r="O20" s="23">
        <v>42.078699999999998</v>
      </c>
      <c r="P20" s="21"/>
      <c r="Q20" s="21"/>
      <c r="R20" s="21"/>
      <c r="S20" s="21"/>
      <c r="T20" s="21"/>
      <c r="U20" s="22"/>
      <c r="V20" s="23">
        <f t="shared" si="8"/>
        <v>0</v>
      </c>
      <c r="W20" s="27" t="str">
        <f t="shared" si="10"/>
        <v/>
      </c>
      <c r="X20" s="21"/>
      <c r="Y20" s="21"/>
      <c r="Z20" s="21"/>
      <c r="AA20" s="21"/>
      <c r="AB20" s="21"/>
      <c r="AC20" s="21"/>
      <c r="AD20" s="23">
        <f t="shared" si="9"/>
        <v>0</v>
      </c>
      <c r="AE20" s="28"/>
      <c r="AF20" s="28"/>
      <c r="AG20" s="28"/>
      <c r="AH20" s="25" t="e">
        <f t="shared" si="11"/>
        <v>#DIV/0!</v>
      </c>
      <c r="AI20" s="25"/>
    </row>
    <row r="21" spans="1:35" ht="12" thickBot="1">
      <c r="A21" s="26"/>
      <c r="B21" s="26"/>
      <c r="C21" s="26">
        <v>32</v>
      </c>
      <c r="D21" s="18">
        <f t="shared" si="0"/>
        <v>0</v>
      </c>
      <c r="E21" s="18">
        <f t="shared" si="1"/>
        <v>0</v>
      </c>
      <c r="F21" s="18">
        <f t="shared" si="2"/>
        <v>0</v>
      </c>
      <c r="G21" s="18">
        <f t="shared" si="3"/>
        <v>0</v>
      </c>
      <c r="H21" s="18">
        <f t="shared" si="4"/>
        <v>0</v>
      </c>
      <c r="I21" s="18">
        <f t="shared" si="5"/>
        <v>0</v>
      </c>
      <c r="J21" s="18">
        <f t="shared" si="6"/>
        <v>0</v>
      </c>
      <c r="K21" s="19">
        <f t="shared" si="7"/>
        <v>0</v>
      </c>
      <c r="L21" s="23">
        <v>27464.862400000002</v>
      </c>
      <c r="M21" s="23">
        <v>35.761099999999999</v>
      </c>
      <c r="N21" s="23">
        <v>38.28</v>
      </c>
      <c r="O21" s="23">
        <v>40.265000000000001</v>
      </c>
      <c r="P21" s="21"/>
      <c r="Q21" s="21"/>
      <c r="R21" s="21"/>
      <c r="S21" s="21"/>
      <c r="T21" s="21"/>
      <c r="U21" s="22"/>
      <c r="V21" s="23">
        <f t="shared" si="8"/>
        <v>0</v>
      </c>
      <c r="W21" s="27" t="str">
        <f t="shared" si="10"/>
        <v/>
      </c>
      <c r="X21" s="21"/>
      <c r="Y21" s="21"/>
      <c r="Z21" s="21"/>
      <c r="AA21" s="21"/>
      <c r="AB21" s="21"/>
      <c r="AC21" s="21"/>
      <c r="AD21" s="23">
        <f t="shared" si="9"/>
        <v>0</v>
      </c>
      <c r="AE21" s="28"/>
      <c r="AF21" s="28"/>
      <c r="AG21" s="28"/>
      <c r="AH21" s="25" t="e">
        <f t="shared" si="11"/>
        <v>#DIV/0!</v>
      </c>
      <c r="AI21" s="25"/>
    </row>
    <row r="22" spans="1:35" ht="12" thickBot="1">
      <c r="A22" s="26"/>
      <c r="B22" s="29"/>
      <c r="C22" s="29">
        <v>37</v>
      </c>
      <c r="D22" s="30">
        <f t="shared" si="0"/>
        <v>0</v>
      </c>
      <c r="E22" s="30">
        <f t="shared" si="1"/>
        <v>0</v>
      </c>
      <c r="F22" s="30">
        <f t="shared" si="2"/>
        <v>0</v>
      </c>
      <c r="G22" s="30">
        <f t="shared" si="3"/>
        <v>0</v>
      </c>
      <c r="H22" s="30">
        <f t="shared" si="4"/>
        <v>0</v>
      </c>
      <c r="I22" s="30">
        <f t="shared" si="5"/>
        <v>0</v>
      </c>
      <c r="J22" s="30">
        <f t="shared" si="6"/>
        <v>0</v>
      </c>
      <c r="K22" s="31">
        <f t="shared" si="7"/>
        <v>0</v>
      </c>
      <c r="L22" s="32">
        <v>14664.357599999999</v>
      </c>
      <c r="M22" s="32">
        <v>33.380800000000001</v>
      </c>
      <c r="N22" s="32">
        <v>37.028799999999997</v>
      </c>
      <c r="O22" s="32">
        <v>38.348999999999997</v>
      </c>
      <c r="P22" s="33"/>
      <c r="Q22" s="33"/>
      <c r="R22" s="33"/>
      <c r="S22" s="33"/>
      <c r="T22" s="33"/>
      <c r="U22" s="34"/>
      <c r="V22" s="32">
        <f t="shared" si="8"/>
        <v>0</v>
      </c>
      <c r="W22" s="37" t="str">
        <f t="shared" si="10"/>
        <v/>
      </c>
      <c r="X22" s="33"/>
      <c r="Y22" s="33"/>
      <c r="Z22" s="33"/>
      <c r="AA22" s="33"/>
      <c r="AB22" s="33"/>
      <c r="AC22" s="33"/>
      <c r="AD22" s="32">
        <f t="shared" si="9"/>
        <v>0</v>
      </c>
      <c r="AE22" s="29"/>
      <c r="AF22" s="29"/>
      <c r="AG22" s="29"/>
      <c r="AH22" s="25" t="e">
        <f>AB22/T22</f>
        <v>#DIV/0!</v>
      </c>
      <c r="AI22" s="25"/>
    </row>
    <row r="23" spans="1:35" ht="12" thickBot="1">
      <c r="A23" s="26"/>
      <c r="B23" s="17" t="s">
        <v>29</v>
      </c>
      <c r="C23" s="17">
        <v>22</v>
      </c>
      <c r="D23" s="40">
        <f>P23</f>
        <v>46600</v>
      </c>
      <c r="E23" s="40">
        <f>R23</f>
        <v>45.25</v>
      </c>
      <c r="F23" s="40">
        <f>P23</f>
        <v>46600</v>
      </c>
      <c r="G23" s="40">
        <f>S23</f>
        <v>46.76</v>
      </c>
      <c r="H23" s="40">
        <f>X23</f>
        <v>0</v>
      </c>
      <c r="I23" s="40">
        <f>Z23</f>
        <v>0</v>
      </c>
      <c r="J23" s="40">
        <f>X23</f>
        <v>0</v>
      </c>
      <c r="K23" s="41">
        <f>AA23</f>
        <v>0</v>
      </c>
      <c r="L23" s="20">
        <v>71997.502399999998</v>
      </c>
      <c r="M23" s="20">
        <v>41.258699999999997</v>
      </c>
      <c r="N23" s="20">
        <v>44.386400000000002</v>
      </c>
      <c r="O23" s="20">
        <v>45.951999999999998</v>
      </c>
      <c r="P23" s="36">
        <v>46600</v>
      </c>
      <c r="Q23" s="36">
        <v>41.14</v>
      </c>
      <c r="R23" s="36">
        <v>45.25</v>
      </c>
      <c r="S23" s="36">
        <v>46.76</v>
      </c>
      <c r="T23" s="36">
        <v>12.438000000000001</v>
      </c>
      <c r="U23" s="22"/>
      <c r="V23" s="20">
        <f>T23/3600</f>
        <v>3.4550000000000002E-3</v>
      </c>
      <c r="W23" s="24" t="str">
        <f>IF(OR(AND(P23="",Q23="",R23="",S23=""),AND(L23=P23,M23=Q23,N23=R23,O23=S23)),"","!")</f>
        <v>!</v>
      </c>
      <c r="X23" s="36"/>
      <c r="Y23" s="36"/>
      <c r="Z23" s="36"/>
      <c r="AA23" s="36"/>
      <c r="AB23" s="36"/>
      <c r="AC23" s="36"/>
      <c r="AD23" s="20">
        <f>AB23/3600</f>
        <v>0</v>
      </c>
      <c r="AE23" s="25" t="e">
        <f>RBJM($P23:$Q26,X23:Y26)</f>
        <v>#VALUE!</v>
      </c>
      <c r="AF23" s="25" t="e">
        <f>RBJM($D23:$E26,H23:I26)</f>
        <v>#VALUE!</v>
      </c>
      <c r="AG23" s="25" t="e">
        <f>RBJM($F23:$G26,J23:K26)</f>
        <v>#VALUE!</v>
      </c>
      <c r="AH23" s="25">
        <f>AB23/T23</f>
        <v>0</v>
      </c>
      <c r="AI23" s="25"/>
    </row>
    <row r="24" spans="1:35" ht="12" thickBot="1">
      <c r="A24" s="26"/>
      <c r="B24" s="26" t="s">
        <v>30</v>
      </c>
      <c r="C24" s="26">
        <v>27</v>
      </c>
      <c r="D24" s="42">
        <f>P24</f>
        <v>20926.8</v>
      </c>
      <c r="E24" s="42">
        <f>R24</f>
        <v>43.802100000000003</v>
      </c>
      <c r="F24" s="42">
        <f>P24</f>
        <v>20926.8</v>
      </c>
      <c r="G24" s="42">
        <f>S24</f>
        <v>44.630499999999998</v>
      </c>
      <c r="H24" s="42">
        <f>X24</f>
        <v>0</v>
      </c>
      <c r="I24" s="42">
        <f>Z24</f>
        <v>0</v>
      </c>
      <c r="J24" s="42">
        <f>X24</f>
        <v>0</v>
      </c>
      <c r="K24" s="43">
        <f>AA24</f>
        <v>0</v>
      </c>
      <c r="L24" s="23">
        <v>30177.303199999998</v>
      </c>
      <c r="M24" s="23">
        <v>38.763399999999997</v>
      </c>
      <c r="N24" s="23">
        <v>42.910499999999999</v>
      </c>
      <c r="O24" s="23">
        <v>43.8247</v>
      </c>
      <c r="P24" s="21">
        <v>20926.8</v>
      </c>
      <c r="Q24" s="21">
        <v>39.418799999999997</v>
      </c>
      <c r="R24" s="21">
        <v>43.802100000000003</v>
      </c>
      <c r="S24" s="21">
        <v>44.630499999999998</v>
      </c>
      <c r="T24" s="21">
        <v>10.156000000000001</v>
      </c>
      <c r="U24" s="22"/>
      <c r="V24" s="23">
        <f>T24/3600</f>
        <v>2.8211111111111115E-3</v>
      </c>
      <c r="W24" s="27" t="str">
        <f>IF(OR(AND(P24="",Q24="",R24="",S24=""),AND(L24=P24,M24=Q24,N24=R24,O24=S24)),"","!")</f>
        <v>!</v>
      </c>
      <c r="X24" s="21"/>
      <c r="Y24" s="21"/>
      <c r="Z24" s="21"/>
      <c r="AA24" s="21"/>
      <c r="AB24" s="21"/>
      <c r="AC24" s="21"/>
      <c r="AD24" s="23">
        <f>AB24/3600</f>
        <v>0</v>
      </c>
      <c r="AE24" s="28"/>
      <c r="AF24" s="28"/>
      <c r="AG24" s="28"/>
      <c r="AH24" s="25">
        <f>AB24/T24</f>
        <v>0</v>
      </c>
      <c r="AI24" s="25"/>
    </row>
    <row r="25" spans="1:35" ht="12" thickBot="1">
      <c r="A25" s="26"/>
      <c r="B25" s="26"/>
      <c r="C25" s="26">
        <v>32</v>
      </c>
      <c r="D25" s="42">
        <f>P25</f>
        <v>11146.4</v>
      </c>
      <c r="E25" s="42">
        <f>R25</f>
        <v>42.411700000000003</v>
      </c>
      <c r="F25" s="42">
        <f>P25</f>
        <v>11146.4</v>
      </c>
      <c r="G25" s="42">
        <f>S25</f>
        <v>42.734999999999999</v>
      </c>
      <c r="H25" s="42">
        <f>X25</f>
        <v>0</v>
      </c>
      <c r="I25" s="42">
        <f>Z25</f>
        <v>0</v>
      </c>
      <c r="J25" s="42">
        <f>X25</f>
        <v>0</v>
      </c>
      <c r="K25" s="43">
        <f>AA25</f>
        <v>0</v>
      </c>
      <c r="L25" s="23">
        <v>15603.314399999999</v>
      </c>
      <c r="M25" s="23">
        <v>37.031599999999997</v>
      </c>
      <c r="N25" s="23">
        <v>41.412500000000001</v>
      </c>
      <c r="O25" s="23">
        <v>41.752800000000001</v>
      </c>
      <c r="P25" s="21">
        <v>11146.4</v>
      </c>
      <c r="Q25" s="21">
        <v>37.898899999999998</v>
      </c>
      <c r="R25" s="21">
        <v>42.411700000000003</v>
      </c>
      <c r="S25" s="21">
        <v>42.734999999999999</v>
      </c>
      <c r="T25" s="21">
        <v>9.5310000000000006</v>
      </c>
      <c r="U25" s="22"/>
      <c r="V25" s="23">
        <f>T25/3600</f>
        <v>2.6475000000000001E-3</v>
      </c>
      <c r="W25" s="27" t="str">
        <f>IF(OR(AND(P25="",Q25="",R25="",S25=""),AND(L25=P25,M25=Q25,N25=R25,O25=S25)),"","!")</f>
        <v>!</v>
      </c>
      <c r="X25" s="21"/>
      <c r="Y25" s="21"/>
      <c r="Z25" s="21"/>
      <c r="AA25" s="21"/>
      <c r="AB25" s="21"/>
      <c r="AC25" s="21"/>
      <c r="AD25" s="23">
        <f>AB25/3600</f>
        <v>0</v>
      </c>
      <c r="AE25" s="28"/>
      <c r="AF25" s="28"/>
      <c r="AG25" s="28"/>
      <c r="AH25" s="25">
        <f>AB25/T25</f>
        <v>0</v>
      </c>
      <c r="AI25" s="25"/>
    </row>
    <row r="26" spans="1:35" ht="12" thickBot="1">
      <c r="A26" s="26"/>
      <c r="B26" s="29"/>
      <c r="C26" s="29">
        <v>37</v>
      </c>
      <c r="D26" s="44">
        <f>P26</f>
        <v>6272.4</v>
      </c>
      <c r="E26" s="44">
        <f>R26</f>
        <v>41.2639</v>
      </c>
      <c r="F26" s="44">
        <f>P26</f>
        <v>6272.4</v>
      </c>
      <c r="G26" s="44">
        <f>S26</f>
        <v>41.2423</v>
      </c>
      <c r="H26" s="44">
        <f>X26</f>
        <v>0</v>
      </c>
      <c r="I26" s="44">
        <f>Z26</f>
        <v>0</v>
      </c>
      <c r="J26" s="44">
        <f>X26</f>
        <v>0</v>
      </c>
      <c r="K26" s="45">
        <f>AA26</f>
        <v>0</v>
      </c>
      <c r="L26" s="32">
        <v>8644.8295999999991</v>
      </c>
      <c r="M26" s="32">
        <v>35.134300000000003</v>
      </c>
      <c r="N26" s="32">
        <v>39.826300000000003</v>
      </c>
      <c r="O26" s="32">
        <v>39.631700000000002</v>
      </c>
      <c r="P26" s="33">
        <v>6272.4</v>
      </c>
      <c r="Q26" s="33">
        <v>36.0886</v>
      </c>
      <c r="R26" s="33">
        <v>41.2639</v>
      </c>
      <c r="S26" s="33">
        <v>41.2423</v>
      </c>
      <c r="T26" s="33">
        <v>8.6880000000000006</v>
      </c>
      <c r="U26" s="34"/>
      <c r="V26" s="32">
        <f>T26/3600</f>
        <v>2.4133333333333333E-3</v>
      </c>
      <c r="W26" s="37" t="str">
        <f>IF(OR(AND(P26="",Q26="",R26="",S26=""),AND(L26=P26,M26=Q26,N26=R26,O26=S26)),"","!")</f>
        <v>!</v>
      </c>
      <c r="X26" s="33"/>
      <c r="Y26" s="33"/>
      <c r="Z26" s="33"/>
      <c r="AA26" s="33"/>
      <c r="AB26" s="33"/>
      <c r="AC26" s="33"/>
      <c r="AD26" s="32">
        <f>AB26/3600</f>
        <v>0</v>
      </c>
      <c r="AE26" s="29"/>
      <c r="AF26" s="29"/>
      <c r="AG26" s="29"/>
      <c r="AH26" s="25">
        <f t="shared" ref="AH26:AH74" si="12">AB26/T26</f>
        <v>0</v>
      </c>
      <c r="AI26" s="25"/>
    </row>
    <row r="27" spans="1:35" ht="12" thickBot="1">
      <c r="A27" s="26"/>
      <c r="B27" s="17" t="s">
        <v>31</v>
      </c>
      <c r="C27" s="17">
        <v>22</v>
      </c>
      <c r="D27" s="40">
        <f t="shared" si="0"/>
        <v>0</v>
      </c>
      <c r="E27" s="40">
        <f t="shared" si="1"/>
        <v>0</v>
      </c>
      <c r="F27" s="40">
        <f t="shared" si="2"/>
        <v>0</v>
      </c>
      <c r="G27" s="40">
        <f t="shared" si="3"/>
        <v>0</v>
      </c>
      <c r="H27" s="40">
        <f>X27</f>
        <v>0</v>
      </c>
      <c r="I27" s="40">
        <f>Z27</f>
        <v>0</v>
      </c>
      <c r="J27" s="40">
        <f>X27</f>
        <v>0</v>
      </c>
      <c r="K27" s="41">
        <f>AA27</f>
        <v>0</v>
      </c>
      <c r="L27" s="20">
        <v>185890.88</v>
      </c>
      <c r="M27" s="20">
        <v>42.308700000000002</v>
      </c>
      <c r="N27" s="20">
        <v>42.799100000000003</v>
      </c>
      <c r="O27" s="20">
        <v>44.401600000000002</v>
      </c>
      <c r="P27" s="36"/>
      <c r="Q27" s="36"/>
      <c r="R27" s="36"/>
      <c r="S27" s="36"/>
      <c r="T27" s="36"/>
      <c r="U27" s="22"/>
      <c r="V27" s="20">
        <f t="shared" si="8"/>
        <v>0</v>
      </c>
      <c r="W27" s="24" t="str">
        <f>IF(OR(AND(P27="",Q27="",R27="",S27=""),AND(L27=P27,M27=Q27,N27=R27,O27=S27)),"","!")</f>
        <v/>
      </c>
      <c r="X27" s="36"/>
      <c r="Y27" s="36"/>
      <c r="Z27" s="36"/>
      <c r="AA27" s="36"/>
      <c r="AB27" s="36"/>
      <c r="AC27" s="36"/>
      <c r="AD27" s="20">
        <f>AB27/3600</f>
        <v>0</v>
      </c>
      <c r="AE27" s="25" t="e">
        <f>RBJM($P27:$Q30,X27:Y30)</f>
        <v>#VALUE!</v>
      </c>
      <c r="AF27" s="25" t="e">
        <f>RBJM($D27:$E30,H27:I30)</f>
        <v>#VALUE!</v>
      </c>
      <c r="AG27" s="25" t="e">
        <f>RBJM($F27:$G30,J27:K30)</f>
        <v>#VALUE!</v>
      </c>
      <c r="AH27" s="25" t="e">
        <f t="shared" si="12"/>
        <v>#DIV/0!</v>
      </c>
      <c r="AI27" s="25"/>
    </row>
    <row r="28" spans="1:35" ht="12" thickBot="1">
      <c r="A28" s="26"/>
      <c r="B28" s="26" t="s">
        <v>32</v>
      </c>
      <c r="C28" s="26">
        <v>27</v>
      </c>
      <c r="D28" s="42">
        <f t="shared" si="0"/>
        <v>0</v>
      </c>
      <c r="E28" s="42">
        <f t="shared" si="1"/>
        <v>0</v>
      </c>
      <c r="F28" s="42">
        <f t="shared" si="2"/>
        <v>0</v>
      </c>
      <c r="G28" s="42">
        <f t="shared" si="3"/>
        <v>0</v>
      </c>
      <c r="H28" s="42">
        <f>X28</f>
        <v>0</v>
      </c>
      <c r="I28" s="42">
        <f>Z28</f>
        <v>0</v>
      </c>
      <c r="J28" s="42">
        <f>X28</f>
        <v>0</v>
      </c>
      <c r="K28" s="43">
        <f>AA28</f>
        <v>0</v>
      </c>
      <c r="L28" s="23">
        <v>82516.644</v>
      </c>
      <c r="M28" s="23">
        <v>37.139499999999998</v>
      </c>
      <c r="N28" s="23">
        <v>40.886699999999998</v>
      </c>
      <c r="O28" s="23">
        <v>42.970999999999997</v>
      </c>
      <c r="P28" s="21"/>
      <c r="Q28" s="21"/>
      <c r="R28" s="21"/>
      <c r="S28" s="21"/>
      <c r="T28" s="21"/>
      <c r="U28" s="22"/>
      <c r="V28" s="23">
        <f t="shared" si="8"/>
        <v>0</v>
      </c>
      <c r="W28" s="27" t="str">
        <f t="shared" si="10"/>
        <v/>
      </c>
      <c r="X28" s="21"/>
      <c r="Y28" s="21"/>
      <c r="Z28" s="21"/>
      <c r="AA28" s="21"/>
      <c r="AB28" s="21"/>
      <c r="AC28" s="21"/>
      <c r="AD28" s="23">
        <f>AB28/3600</f>
        <v>0</v>
      </c>
      <c r="AE28" s="28"/>
      <c r="AF28" s="28"/>
      <c r="AG28" s="28"/>
      <c r="AH28" s="25" t="e">
        <f t="shared" si="12"/>
        <v>#DIV/0!</v>
      </c>
      <c r="AI28" s="25"/>
    </row>
    <row r="29" spans="1:35" ht="12" thickBot="1">
      <c r="A29" s="26"/>
      <c r="B29" s="26"/>
      <c r="C29" s="26">
        <v>32</v>
      </c>
      <c r="D29" s="42">
        <f t="shared" si="0"/>
        <v>0</v>
      </c>
      <c r="E29" s="42">
        <f t="shared" si="1"/>
        <v>0</v>
      </c>
      <c r="F29" s="42">
        <f t="shared" si="2"/>
        <v>0</v>
      </c>
      <c r="G29" s="42">
        <f t="shared" si="3"/>
        <v>0</v>
      </c>
      <c r="H29" s="42">
        <f>X29</f>
        <v>0</v>
      </c>
      <c r="I29" s="42">
        <f>Z29</f>
        <v>0</v>
      </c>
      <c r="J29" s="42">
        <f>X29</f>
        <v>0</v>
      </c>
      <c r="K29" s="43">
        <f>AA29</f>
        <v>0</v>
      </c>
      <c r="L29" s="23">
        <v>41722.555999999997</v>
      </c>
      <c r="M29" s="23">
        <v>34.584000000000003</v>
      </c>
      <c r="N29" s="23">
        <v>39.267299999999999</v>
      </c>
      <c r="O29" s="23">
        <v>41.751199999999997</v>
      </c>
      <c r="P29" s="21"/>
      <c r="Q29" s="21"/>
      <c r="R29" s="21"/>
      <c r="S29" s="21"/>
      <c r="T29" s="21"/>
      <c r="U29" s="22"/>
      <c r="V29" s="23">
        <f t="shared" si="8"/>
        <v>0</v>
      </c>
      <c r="W29" s="27" t="str">
        <f t="shared" si="10"/>
        <v/>
      </c>
      <c r="X29" s="21"/>
      <c r="Y29" s="21"/>
      <c r="Z29" s="21"/>
      <c r="AA29" s="21"/>
      <c r="AB29" s="21"/>
      <c r="AC29" s="21"/>
      <c r="AD29" s="23">
        <f>AB29/3600</f>
        <v>0</v>
      </c>
      <c r="AE29" s="28"/>
      <c r="AF29" s="28"/>
      <c r="AG29" s="28"/>
      <c r="AH29" s="25" t="e">
        <f t="shared" si="12"/>
        <v>#DIV/0!</v>
      </c>
      <c r="AI29" s="25"/>
    </row>
    <row r="30" spans="1:35" ht="12" thickBot="1">
      <c r="A30" s="29"/>
      <c r="B30" s="29"/>
      <c r="C30" s="29">
        <v>37</v>
      </c>
      <c r="D30" s="44">
        <f t="shared" si="0"/>
        <v>0</v>
      </c>
      <c r="E30" s="44">
        <f t="shared" si="1"/>
        <v>0</v>
      </c>
      <c r="F30" s="44">
        <f t="shared" si="2"/>
        <v>0</v>
      </c>
      <c r="G30" s="44">
        <f t="shared" si="3"/>
        <v>0</v>
      </c>
      <c r="H30" s="44">
        <f>X30</f>
        <v>0</v>
      </c>
      <c r="I30" s="44">
        <f>Z30</f>
        <v>0</v>
      </c>
      <c r="J30" s="44">
        <f>X30</f>
        <v>0</v>
      </c>
      <c r="K30" s="45">
        <f>AA30</f>
        <v>0</v>
      </c>
      <c r="L30" s="32">
        <v>22227.029600000002</v>
      </c>
      <c r="M30" s="32">
        <v>32.207500000000003</v>
      </c>
      <c r="N30" s="32">
        <v>37.958799999999997</v>
      </c>
      <c r="O30" s="32">
        <v>40.658299999999997</v>
      </c>
      <c r="P30" s="33"/>
      <c r="Q30" s="33"/>
      <c r="R30" s="33"/>
      <c r="S30" s="33"/>
      <c r="T30" s="33"/>
      <c r="U30" s="34"/>
      <c r="V30" s="32">
        <f t="shared" si="8"/>
        <v>0</v>
      </c>
      <c r="W30" s="37" t="str">
        <f t="shared" si="10"/>
        <v/>
      </c>
      <c r="X30" s="33"/>
      <c r="Y30" s="33"/>
      <c r="Z30" s="33"/>
      <c r="AA30" s="33"/>
      <c r="AB30" s="33"/>
      <c r="AC30" s="33"/>
      <c r="AD30" s="32">
        <f>AB30/3600</f>
        <v>0</v>
      </c>
      <c r="AE30" s="29"/>
      <c r="AF30" s="29"/>
      <c r="AG30" s="29"/>
      <c r="AH30" s="25" t="e">
        <f t="shared" si="12"/>
        <v>#DIV/0!</v>
      </c>
      <c r="AI30" s="25"/>
    </row>
    <row r="31" spans="1:35" ht="12" thickBot="1">
      <c r="A31" s="17" t="s">
        <v>33</v>
      </c>
      <c r="B31" s="17" t="s">
        <v>34</v>
      </c>
      <c r="C31" s="17">
        <v>22</v>
      </c>
      <c r="D31" s="40">
        <f t="shared" si="0"/>
        <v>20149.2</v>
      </c>
      <c r="E31" s="40">
        <f t="shared" si="1"/>
        <v>43.849499999999999</v>
      </c>
      <c r="F31" s="40">
        <f t="shared" si="2"/>
        <v>20149.2</v>
      </c>
      <c r="G31" s="40">
        <f t="shared" si="3"/>
        <v>44.631100000000004</v>
      </c>
      <c r="H31" s="40">
        <f t="shared" si="4"/>
        <v>0</v>
      </c>
      <c r="I31" s="40">
        <f t="shared" si="5"/>
        <v>0</v>
      </c>
      <c r="J31" s="40">
        <f t="shared" si="6"/>
        <v>0</v>
      </c>
      <c r="K31" s="41">
        <f t="shared" si="7"/>
        <v>0</v>
      </c>
      <c r="L31" s="20">
        <v>21504.815999999999</v>
      </c>
      <c r="M31" s="20">
        <v>41.884500000000003</v>
      </c>
      <c r="N31" s="20">
        <v>43.823</v>
      </c>
      <c r="O31" s="20">
        <v>44.421500000000002</v>
      </c>
      <c r="P31" s="36">
        <v>20149.2</v>
      </c>
      <c r="Q31" s="36">
        <v>41.747399999999999</v>
      </c>
      <c r="R31" s="36">
        <v>43.849499999999999</v>
      </c>
      <c r="S31" s="36">
        <v>44.631100000000004</v>
      </c>
      <c r="T31" s="36">
        <v>2.8119999999999998</v>
      </c>
      <c r="U31" s="22"/>
      <c r="V31" s="20">
        <f t="shared" si="8"/>
        <v>7.8111111111111111E-4</v>
      </c>
      <c r="W31" s="24" t="str">
        <f>IF(OR(AND(P31="",Q31="",R31="",S31=""),AND(L31=P31,M31=Q31,N31=R31,O31=S31)),"","!")</f>
        <v>!</v>
      </c>
      <c r="X31" s="36"/>
      <c r="Y31" s="36"/>
      <c r="Z31" s="36"/>
      <c r="AA31" s="36"/>
      <c r="AB31" s="36"/>
      <c r="AC31" s="36"/>
      <c r="AD31" s="20">
        <f t="shared" si="9"/>
        <v>0</v>
      </c>
      <c r="AE31" s="25" t="e">
        <f>RBJM($P31:$Q34,X31:Y34)</f>
        <v>#VALUE!</v>
      </c>
      <c r="AF31" s="25" t="e">
        <f>RBJM($D31:$E34,H31:I34)</f>
        <v>#VALUE!</v>
      </c>
      <c r="AG31" s="25" t="e">
        <f>RBJM($F31:$G34,J31:K34)</f>
        <v>#VALUE!</v>
      </c>
      <c r="AH31" s="25">
        <f t="shared" si="12"/>
        <v>0</v>
      </c>
      <c r="AI31" s="25"/>
    </row>
    <row r="32" spans="1:35" ht="12" thickBot="1">
      <c r="A32" s="26" t="s">
        <v>35</v>
      </c>
      <c r="B32" s="26" t="s">
        <v>36</v>
      </c>
      <c r="C32" s="26">
        <v>27</v>
      </c>
      <c r="D32" s="42">
        <f t="shared" si="0"/>
        <v>0</v>
      </c>
      <c r="E32" s="42">
        <f t="shared" si="1"/>
        <v>0</v>
      </c>
      <c r="F32" s="42">
        <f t="shared" si="2"/>
        <v>0</v>
      </c>
      <c r="G32" s="42">
        <f t="shared" si="3"/>
        <v>0</v>
      </c>
      <c r="H32" s="42">
        <f t="shared" si="4"/>
        <v>0</v>
      </c>
      <c r="I32" s="42">
        <f t="shared" si="5"/>
        <v>0</v>
      </c>
      <c r="J32" s="42">
        <f t="shared" si="6"/>
        <v>0</v>
      </c>
      <c r="K32" s="43">
        <f t="shared" si="7"/>
        <v>0</v>
      </c>
      <c r="L32" s="23">
        <v>11793.270399999999</v>
      </c>
      <c r="M32" s="23">
        <v>38.462200000000003</v>
      </c>
      <c r="N32" s="23">
        <v>41.041899999999998</v>
      </c>
      <c r="O32" s="23">
        <v>41.251600000000003</v>
      </c>
      <c r="P32" s="21"/>
      <c r="Q32" s="21"/>
      <c r="R32" s="21"/>
      <c r="S32" s="21"/>
      <c r="T32" s="21"/>
      <c r="U32" s="22"/>
      <c r="V32" s="23">
        <f t="shared" si="8"/>
        <v>0</v>
      </c>
      <c r="W32" s="27" t="str">
        <f t="shared" si="10"/>
        <v/>
      </c>
      <c r="X32" s="21"/>
      <c r="Y32" s="21"/>
      <c r="Z32" s="21"/>
      <c r="AA32" s="21"/>
      <c r="AB32" s="21"/>
      <c r="AC32" s="21"/>
      <c r="AD32" s="23">
        <f t="shared" si="9"/>
        <v>0</v>
      </c>
      <c r="AE32" s="28"/>
      <c r="AF32" s="28"/>
      <c r="AG32" s="28"/>
      <c r="AH32" s="25" t="e">
        <f t="shared" si="12"/>
        <v>#DIV/0!</v>
      </c>
      <c r="AI32" s="25"/>
    </row>
    <row r="33" spans="1:35" ht="12" thickBot="1">
      <c r="A33" s="26"/>
      <c r="B33" s="26"/>
      <c r="C33" s="26">
        <v>32</v>
      </c>
      <c r="D33" s="42">
        <f t="shared" si="0"/>
        <v>0</v>
      </c>
      <c r="E33" s="42">
        <f t="shared" si="1"/>
        <v>0</v>
      </c>
      <c r="F33" s="42">
        <f t="shared" si="2"/>
        <v>0</v>
      </c>
      <c r="G33" s="42">
        <f t="shared" si="3"/>
        <v>0</v>
      </c>
      <c r="H33" s="42">
        <f t="shared" si="4"/>
        <v>0</v>
      </c>
      <c r="I33" s="42">
        <f t="shared" si="5"/>
        <v>0</v>
      </c>
      <c r="J33" s="42">
        <f t="shared" si="6"/>
        <v>0</v>
      </c>
      <c r="K33" s="43">
        <f t="shared" si="7"/>
        <v>0</v>
      </c>
      <c r="L33" s="23">
        <v>6284.8608000000004</v>
      </c>
      <c r="M33" s="23">
        <v>35.527200000000001</v>
      </c>
      <c r="N33" s="23">
        <v>38.550800000000002</v>
      </c>
      <c r="O33" s="23">
        <v>38.521900000000002</v>
      </c>
      <c r="P33" s="21"/>
      <c r="Q33" s="21"/>
      <c r="R33" s="21"/>
      <c r="S33" s="21"/>
      <c r="T33" s="21"/>
      <c r="U33" s="22"/>
      <c r="V33" s="23">
        <f t="shared" si="8"/>
        <v>0</v>
      </c>
      <c r="W33" s="27" t="str">
        <f t="shared" si="10"/>
        <v/>
      </c>
      <c r="X33" s="21"/>
      <c r="Y33" s="21"/>
      <c r="Z33" s="21"/>
      <c r="AA33" s="21"/>
      <c r="AB33" s="21"/>
      <c r="AC33" s="21"/>
      <c r="AD33" s="23">
        <f t="shared" si="9"/>
        <v>0</v>
      </c>
      <c r="AE33" s="28"/>
      <c r="AF33" s="28"/>
      <c r="AG33" s="28"/>
      <c r="AH33" s="25" t="e">
        <f t="shared" si="12"/>
        <v>#DIV/0!</v>
      </c>
      <c r="AI33" s="25"/>
    </row>
    <row r="34" spans="1:35" ht="12" thickBot="1">
      <c r="A34" s="26"/>
      <c r="B34" s="29"/>
      <c r="C34" s="29">
        <v>37</v>
      </c>
      <c r="D34" s="44">
        <f t="shared" si="0"/>
        <v>0</v>
      </c>
      <c r="E34" s="44">
        <f t="shared" si="1"/>
        <v>0</v>
      </c>
      <c r="F34" s="44">
        <f t="shared" si="2"/>
        <v>0</v>
      </c>
      <c r="G34" s="44">
        <f t="shared" si="3"/>
        <v>0</v>
      </c>
      <c r="H34" s="44">
        <f t="shared" si="4"/>
        <v>0</v>
      </c>
      <c r="I34" s="44">
        <f t="shared" si="5"/>
        <v>0</v>
      </c>
      <c r="J34" s="44">
        <f t="shared" si="6"/>
        <v>0</v>
      </c>
      <c r="K34" s="45">
        <f t="shared" si="7"/>
        <v>0</v>
      </c>
      <c r="L34" s="32">
        <v>3375.4351999999999</v>
      </c>
      <c r="M34" s="32">
        <v>32.893099999999997</v>
      </c>
      <c r="N34" s="32">
        <v>36.227400000000003</v>
      </c>
      <c r="O34" s="32">
        <v>35.955500000000001</v>
      </c>
      <c r="P34" s="33"/>
      <c r="Q34" s="33"/>
      <c r="R34" s="33"/>
      <c r="S34" s="33"/>
      <c r="T34" s="33"/>
      <c r="U34" s="34"/>
      <c r="V34" s="32">
        <f t="shared" si="8"/>
        <v>0</v>
      </c>
      <c r="W34" s="37" t="str">
        <f t="shared" si="10"/>
        <v/>
      </c>
      <c r="X34" s="33"/>
      <c r="Y34" s="33"/>
      <c r="Z34" s="33"/>
      <c r="AA34" s="33"/>
      <c r="AB34" s="33"/>
      <c r="AC34" s="33"/>
      <c r="AD34" s="32">
        <f t="shared" si="9"/>
        <v>0</v>
      </c>
      <c r="AE34" s="29"/>
      <c r="AF34" s="29"/>
      <c r="AG34" s="29"/>
      <c r="AH34" s="25" t="e">
        <f t="shared" si="12"/>
        <v>#DIV/0!</v>
      </c>
      <c r="AI34" s="25"/>
    </row>
    <row r="35" spans="1:35" ht="12" thickBot="1">
      <c r="A35" s="26"/>
      <c r="B35" s="17" t="s">
        <v>37</v>
      </c>
      <c r="C35" s="17">
        <v>22</v>
      </c>
      <c r="D35" s="40">
        <f t="shared" si="0"/>
        <v>0</v>
      </c>
      <c r="E35" s="40">
        <f t="shared" si="1"/>
        <v>0</v>
      </c>
      <c r="F35" s="40">
        <f t="shared" si="2"/>
        <v>0</v>
      </c>
      <c r="G35" s="40">
        <f t="shared" si="3"/>
        <v>0</v>
      </c>
      <c r="H35" s="40">
        <f t="shared" si="4"/>
        <v>0</v>
      </c>
      <c r="I35" s="40">
        <f t="shared" si="5"/>
        <v>0</v>
      </c>
      <c r="J35" s="40">
        <f t="shared" si="6"/>
        <v>0</v>
      </c>
      <c r="K35" s="41">
        <f t="shared" si="7"/>
        <v>0</v>
      </c>
      <c r="L35" s="20">
        <v>24353.02</v>
      </c>
      <c r="M35" s="20">
        <v>42.011499999999998</v>
      </c>
      <c r="N35" s="20">
        <v>44.019100000000002</v>
      </c>
      <c r="O35" s="20">
        <v>45.359699999999997</v>
      </c>
      <c r="P35" s="36"/>
      <c r="Q35" s="36"/>
      <c r="R35" s="36"/>
      <c r="S35" s="36"/>
      <c r="T35" s="36"/>
      <c r="U35" s="22"/>
      <c r="V35" s="20">
        <f t="shared" si="8"/>
        <v>0</v>
      </c>
      <c r="W35" s="24" t="str">
        <f>IF(OR(AND(P35="",Q35="",R35="",S35=""),AND(L35=P35,M35=Q35,N35=R35,O35=S35)),"","!")</f>
        <v/>
      </c>
      <c r="X35" s="36"/>
      <c r="Y35" s="36"/>
      <c r="Z35" s="36"/>
      <c r="AA35" s="36"/>
      <c r="AB35" s="36"/>
      <c r="AC35" s="36"/>
      <c r="AD35" s="20">
        <f t="shared" si="9"/>
        <v>0</v>
      </c>
      <c r="AE35" s="25" t="e">
        <f>RBJM($P35:$Q38,X35:Y38)</f>
        <v>#VALUE!</v>
      </c>
      <c r="AF35" s="25" t="e">
        <f>RBJM($D35:$E38,H35:I38)</f>
        <v>#VALUE!</v>
      </c>
      <c r="AG35" s="25" t="e">
        <f>RBJM($F35:$G38,J35:K38)</f>
        <v>#VALUE!</v>
      </c>
      <c r="AH35" s="25" t="e">
        <f t="shared" si="12"/>
        <v>#DIV/0!</v>
      </c>
      <c r="AI35" s="25"/>
    </row>
    <row r="36" spans="1:35" ht="12" thickBot="1">
      <c r="A36" s="26"/>
      <c r="B36" s="26" t="s">
        <v>38</v>
      </c>
      <c r="C36" s="26">
        <v>27</v>
      </c>
      <c r="D36" s="42">
        <f t="shared" si="0"/>
        <v>0</v>
      </c>
      <c r="E36" s="42">
        <f t="shared" si="1"/>
        <v>0</v>
      </c>
      <c r="F36" s="42">
        <f t="shared" si="2"/>
        <v>0</v>
      </c>
      <c r="G36" s="42">
        <f t="shared" si="3"/>
        <v>0</v>
      </c>
      <c r="H36" s="42">
        <f t="shared" si="4"/>
        <v>0</v>
      </c>
      <c r="I36" s="42">
        <f t="shared" si="5"/>
        <v>0</v>
      </c>
      <c r="J36" s="42">
        <f t="shared" si="6"/>
        <v>0</v>
      </c>
      <c r="K36" s="43">
        <f t="shared" si="7"/>
        <v>0</v>
      </c>
      <c r="L36" s="23">
        <v>14539.099200000001</v>
      </c>
      <c r="M36" s="23">
        <v>39.055500000000002</v>
      </c>
      <c r="N36" s="23">
        <v>41.711399999999998</v>
      </c>
      <c r="O36" s="23">
        <v>42.8628</v>
      </c>
      <c r="P36" s="21"/>
      <c r="Q36" s="21"/>
      <c r="R36" s="21"/>
      <c r="S36" s="21"/>
      <c r="T36" s="21"/>
      <c r="U36" s="22"/>
      <c r="V36" s="23">
        <f t="shared" si="8"/>
        <v>0</v>
      </c>
      <c r="W36" s="27" t="str">
        <f t="shared" si="10"/>
        <v/>
      </c>
      <c r="X36" s="21"/>
      <c r="Y36" s="21"/>
      <c r="Z36" s="21"/>
      <c r="AA36" s="21"/>
      <c r="AB36" s="21"/>
      <c r="AC36" s="21"/>
      <c r="AD36" s="23">
        <f t="shared" si="9"/>
        <v>0</v>
      </c>
      <c r="AE36" s="28"/>
      <c r="AF36" s="28"/>
      <c r="AG36" s="28"/>
      <c r="AH36" s="25" t="e">
        <f t="shared" si="12"/>
        <v>#DIV/0!</v>
      </c>
      <c r="AI36" s="25"/>
    </row>
    <row r="37" spans="1:35" ht="12" thickBot="1">
      <c r="A37" s="26"/>
      <c r="B37" s="26"/>
      <c r="C37" s="26">
        <v>32</v>
      </c>
      <c r="D37" s="42">
        <f t="shared" si="0"/>
        <v>0</v>
      </c>
      <c r="E37" s="42">
        <f t="shared" si="1"/>
        <v>0</v>
      </c>
      <c r="F37" s="42">
        <f t="shared" si="2"/>
        <v>0</v>
      </c>
      <c r="G37" s="42">
        <f t="shared" si="3"/>
        <v>0</v>
      </c>
      <c r="H37" s="42">
        <f t="shared" si="4"/>
        <v>0</v>
      </c>
      <c r="I37" s="42">
        <f t="shared" si="5"/>
        <v>0</v>
      </c>
      <c r="J37" s="42">
        <f t="shared" si="6"/>
        <v>0</v>
      </c>
      <c r="K37" s="43">
        <f t="shared" si="7"/>
        <v>0</v>
      </c>
      <c r="L37" s="23">
        <v>8524.9287999999997</v>
      </c>
      <c r="M37" s="23">
        <v>36.032299999999999</v>
      </c>
      <c r="N37" s="23">
        <v>39.697499999999998</v>
      </c>
      <c r="O37" s="23">
        <v>40.692399999999999</v>
      </c>
      <c r="P37" s="21"/>
      <c r="Q37" s="21"/>
      <c r="R37" s="21"/>
      <c r="S37" s="21"/>
      <c r="T37" s="21"/>
      <c r="U37" s="22"/>
      <c r="V37" s="23">
        <f t="shared" si="8"/>
        <v>0</v>
      </c>
      <c r="W37" s="27" t="str">
        <f t="shared" si="10"/>
        <v/>
      </c>
      <c r="X37" s="21"/>
      <c r="Y37" s="21"/>
      <c r="Z37" s="21"/>
      <c r="AA37" s="21"/>
      <c r="AB37" s="21"/>
      <c r="AC37" s="21"/>
      <c r="AD37" s="23">
        <f t="shared" si="9"/>
        <v>0</v>
      </c>
      <c r="AE37" s="28"/>
      <c r="AF37" s="28"/>
      <c r="AG37" s="28"/>
      <c r="AH37" s="25" t="e">
        <f t="shared" si="12"/>
        <v>#DIV/0!</v>
      </c>
      <c r="AI37" s="25"/>
    </row>
    <row r="38" spans="1:35" ht="12" thickBot="1">
      <c r="A38" s="26"/>
      <c r="B38" s="29"/>
      <c r="C38" s="29">
        <v>37</v>
      </c>
      <c r="D38" s="44">
        <f t="shared" si="0"/>
        <v>0</v>
      </c>
      <c r="E38" s="44">
        <f t="shared" si="1"/>
        <v>0</v>
      </c>
      <c r="F38" s="44">
        <f t="shared" si="2"/>
        <v>0</v>
      </c>
      <c r="G38" s="44">
        <f t="shared" si="3"/>
        <v>0</v>
      </c>
      <c r="H38" s="44">
        <f t="shared" si="4"/>
        <v>0</v>
      </c>
      <c r="I38" s="44">
        <f t="shared" si="5"/>
        <v>0</v>
      </c>
      <c r="J38" s="44">
        <f t="shared" si="6"/>
        <v>0</v>
      </c>
      <c r="K38" s="45">
        <f t="shared" si="7"/>
        <v>0</v>
      </c>
      <c r="L38" s="32">
        <v>4795.9848000000002</v>
      </c>
      <c r="M38" s="32">
        <v>32.9818</v>
      </c>
      <c r="N38" s="32">
        <v>37.753500000000003</v>
      </c>
      <c r="O38" s="32">
        <v>38.603900000000003</v>
      </c>
      <c r="P38" s="33"/>
      <c r="Q38" s="33"/>
      <c r="R38" s="33"/>
      <c r="S38" s="33"/>
      <c r="T38" s="33"/>
      <c r="U38" s="34"/>
      <c r="V38" s="32">
        <f t="shared" si="8"/>
        <v>0</v>
      </c>
      <c r="W38" s="37" t="str">
        <f t="shared" si="10"/>
        <v/>
      </c>
      <c r="X38" s="33"/>
      <c r="Y38" s="33"/>
      <c r="Z38" s="33"/>
      <c r="AA38" s="33"/>
      <c r="AB38" s="33"/>
      <c r="AC38" s="33"/>
      <c r="AD38" s="32">
        <f t="shared" si="9"/>
        <v>0</v>
      </c>
      <c r="AE38" s="29"/>
      <c r="AF38" s="29"/>
      <c r="AG38" s="29"/>
      <c r="AH38" s="25" t="e">
        <f t="shared" si="12"/>
        <v>#DIV/0!</v>
      </c>
      <c r="AI38" s="25"/>
    </row>
    <row r="39" spans="1:35" ht="12" thickBot="1">
      <c r="A39" s="26"/>
      <c r="B39" s="17" t="s">
        <v>39</v>
      </c>
      <c r="C39" s="17">
        <v>22</v>
      </c>
      <c r="D39" s="40">
        <f t="shared" si="0"/>
        <v>0</v>
      </c>
      <c r="E39" s="40">
        <f t="shared" si="1"/>
        <v>0</v>
      </c>
      <c r="F39" s="40">
        <f t="shared" si="2"/>
        <v>0</v>
      </c>
      <c r="G39" s="40">
        <f t="shared" si="3"/>
        <v>0</v>
      </c>
      <c r="H39" s="40">
        <f t="shared" si="4"/>
        <v>0</v>
      </c>
      <c r="I39" s="40">
        <f t="shared" si="5"/>
        <v>0</v>
      </c>
      <c r="J39" s="40">
        <f t="shared" si="6"/>
        <v>0</v>
      </c>
      <c r="K39" s="41">
        <f t="shared" si="7"/>
        <v>0</v>
      </c>
      <c r="L39" s="20">
        <v>45707.029600000002</v>
      </c>
      <c r="M39" s="20">
        <v>41.210299999999997</v>
      </c>
      <c r="N39" s="20">
        <v>42.479900000000001</v>
      </c>
      <c r="O39" s="20">
        <v>43.316099999999999</v>
      </c>
      <c r="P39" s="36"/>
      <c r="Q39" s="36"/>
      <c r="R39" s="36"/>
      <c r="S39" s="36"/>
      <c r="T39" s="36"/>
      <c r="U39" s="22"/>
      <c r="V39" s="20">
        <f t="shared" si="8"/>
        <v>0</v>
      </c>
      <c r="W39" s="24" t="str">
        <f>IF(OR(AND(P39="",Q39="",R39="",S39=""),AND(L39=P39,M39=Q39,N39=R39,O39=S39)),"","!")</f>
        <v/>
      </c>
      <c r="X39" s="36"/>
      <c r="Y39" s="36"/>
      <c r="Z39" s="36"/>
      <c r="AA39" s="36"/>
      <c r="AB39" s="36"/>
      <c r="AC39" s="36"/>
      <c r="AD39" s="20">
        <f t="shared" si="9"/>
        <v>0</v>
      </c>
      <c r="AE39" s="25" t="e">
        <f>RBJM($P39:$Q42,X39:Y42)</f>
        <v>#VALUE!</v>
      </c>
      <c r="AF39" s="25" t="e">
        <f>RBJM($D39:$E42,H39:I42)</f>
        <v>#VALUE!</v>
      </c>
      <c r="AG39" s="25" t="e">
        <f>RBJM($F39:$G42,J39:K42)</f>
        <v>#VALUE!</v>
      </c>
      <c r="AH39" s="25" t="e">
        <f t="shared" si="12"/>
        <v>#DIV/0!</v>
      </c>
      <c r="AI39" s="25"/>
    </row>
    <row r="40" spans="1:35" ht="12" thickBot="1">
      <c r="A40" s="26"/>
      <c r="B40" s="26" t="s">
        <v>40</v>
      </c>
      <c r="C40" s="26">
        <v>27</v>
      </c>
      <c r="D40" s="42">
        <f t="shared" si="0"/>
        <v>0</v>
      </c>
      <c r="E40" s="42">
        <f t="shared" si="1"/>
        <v>0</v>
      </c>
      <c r="F40" s="42">
        <f t="shared" si="2"/>
        <v>0</v>
      </c>
      <c r="G40" s="42">
        <f t="shared" si="3"/>
        <v>0</v>
      </c>
      <c r="H40" s="42">
        <f t="shared" si="4"/>
        <v>0</v>
      </c>
      <c r="I40" s="42">
        <f t="shared" si="5"/>
        <v>0</v>
      </c>
      <c r="J40" s="42">
        <f t="shared" si="6"/>
        <v>0</v>
      </c>
      <c r="K40" s="43">
        <f t="shared" si="7"/>
        <v>0</v>
      </c>
      <c r="L40" s="23">
        <v>28195.8976</v>
      </c>
      <c r="M40" s="23">
        <v>36.911200000000001</v>
      </c>
      <c r="N40" s="23">
        <v>39.229399999999998</v>
      </c>
      <c r="O40" s="23">
        <v>40.011699999999998</v>
      </c>
      <c r="P40" s="21"/>
      <c r="Q40" s="21"/>
      <c r="R40" s="21"/>
      <c r="S40" s="21"/>
      <c r="T40" s="21"/>
      <c r="U40" s="22"/>
      <c r="V40" s="23">
        <f t="shared" si="8"/>
        <v>0</v>
      </c>
      <c r="W40" s="27" t="str">
        <f t="shared" si="10"/>
        <v/>
      </c>
      <c r="X40" s="21"/>
      <c r="Y40" s="21"/>
      <c r="Z40" s="21"/>
      <c r="AA40" s="21"/>
      <c r="AB40" s="21"/>
      <c r="AC40" s="21"/>
      <c r="AD40" s="23">
        <f t="shared" si="9"/>
        <v>0</v>
      </c>
      <c r="AE40" s="28"/>
      <c r="AF40" s="28"/>
      <c r="AG40" s="28"/>
      <c r="AH40" s="25" t="e">
        <f t="shared" si="12"/>
        <v>#DIV/0!</v>
      </c>
      <c r="AI40" s="25"/>
    </row>
    <row r="41" spans="1:35" ht="12" thickBot="1">
      <c r="A41" s="26"/>
      <c r="B41" s="26"/>
      <c r="C41" s="26">
        <v>32</v>
      </c>
      <c r="D41" s="42">
        <f t="shared" si="0"/>
        <v>0</v>
      </c>
      <c r="E41" s="42">
        <f t="shared" si="1"/>
        <v>0</v>
      </c>
      <c r="F41" s="42">
        <f t="shared" si="2"/>
        <v>0</v>
      </c>
      <c r="G41" s="42">
        <f t="shared" si="3"/>
        <v>0</v>
      </c>
      <c r="H41" s="42">
        <f t="shared" si="4"/>
        <v>0</v>
      </c>
      <c r="I41" s="42">
        <f t="shared" si="5"/>
        <v>0</v>
      </c>
      <c r="J41" s="42">
        <f t="shared" si="6"/>
        <v>0</v>
      </c>
      <c r="K41" s="43">
        <f t="shared" si="7"/>
        <v>0</v>
      </c>
      <c r="L41" s="23">
        <v>16773.642400000001</v>
      </c>
      <c r="M41" s="23">
        <v>33.149000000000001</v>
      </c>
      <c r="N41" s="23">
        <v>36.830399999999997</v>
      </c>
      <c r="O41" s="23">
        <v>37.551200000000001</v>
      </c>
      <c r="P41" s="21"/>
      <c r="Q41" s="21"/>
      <c r="R41" s="21"/>
      <c r="S41" s="21"/>
      <c r="T41" s="21"/>
      <c r="U41" s="22"/>
      <c r="V41" s="23">
        <f t="shared" si="8"/>
        <v>0</v>
      </c>
      <c r="W41" s="27" t="str">
        <f t="shared" si="10"/>
        <v/>
      </c>
      <c r="X41" s="21"/>
      <c r="Y41" s="21"/>
      <c r="Z41" s="21"/>
      <c r="AA41" s="21"/>
      <c r="AB41" s="21"/>
      <c r="AC41" s="21"/>
      <c r="AD41" s="23">
        <f t="shared" si="9"/>
        <v>0</v>
      </c>
      <c r="AE41" s="28"/>
      <c r="AF41" s="28"/>
      <c r="AG41" s="28"/>
      <c r="AH41" s="25" t="e">
        <f t="shared" si="12"/>
        <v>#DIV/0!</v>
      </c>
      <c r="AI41" s="25"/>
    </row>
    <row r="42" spans="1:35" ht="12" thickBot="1">
      <c r="A42" s="26"/>
      <c r="B42" s="29"/>
      <c r="C42" s="29">
        <v>37</v>
      </c>
      <c r="D42" s="44">
        <f t="shared" si="0"/>
        <v>0</v>
      </c>
      <c r="E42" s="44">
        <f t="shared" si="1"/>
        <v>0</v>
      </c>
      <c r="F42" s="44">
        <f t="shared" si="2"/>
        <v>0</v>
      </c>
      <c r="G42" s="44">
        <f t="shared" si="3"/>
        <v>0</v>
      </c>
      <c r="H42" s="44">
        <f t="shared" si="4"/>
        <v>0</v>
      </c>
      <c r="I42" s="44">
        <f t="shared" si="5"/>
        <v>0</v>
      </c>
      <c r="J42" s="44">
        <f t="shared" si="6"/>
        <v>0</v>
      </c>
      <c r="K42" s="45">
        <f t="shared" si="7"/>
        <v>0</v>
      </c>
      <c r="L42" s="32">
        <v>8924.348</v>
      </c>
      <c r="M42" s="32">
        <v>29.427399999999999</v>
      </c>
      <c r="N42" s="32">
        <v>34.7866</v>
      </c>
      <c r="O42" s="32">
        <v>35.4544</v>
      </c>
      <c r="P42" s="33"/>
      <c r="Q42" s="33"/>
      <c r="R42" s="33"/>
      <c r="S42" s="33"/>
      <c r="T42" s="33"/>
      <c r="U42" s="34"/>
      <c r="V42" s="32">
        <f t="shared" si="8"/>
        <v>0</v>
      </c>
      <c r="W42" s="37" t="str">
        <f t="shared" si="10"/>
        <v/>
      </c>
      <c r="X42" s="33"/>
      <c r="Y42" s="33"/>
      <c r="Z42" s="33"/>
      <c r="AA42" s="33"/>
      <c r="AB42" s="33"/>
      <c r="AC42" s="33"/>
      <c r="AD42" s="32">
        <f t="shared" si="9"/>
        <v>0</v>
      </c>
      <c r="AE42" s="29"/>
      <c r="AF42" s="29"/>
      <c r="AG42" s="29"/>
      <c r="AH42" s="25" t="e">
        <f t="shared" si="12"/>
        <v>#DIV/0!</v>
      </c>
      <c r="AI42" s="25"/>
    </row>
    <row r="43" spans="1:35" ht="12" thickBot="1">
      <c r="A43" s="26"/>
      <c r="B43" s="17" t="s">
        <v>41</v>
      </c>
      <c r="C43" s="17">
        <v>22</v>
      </c>
      <c r="D43" s="40">
        <f t="shared" si="0"/>
        <v>0</v>
      </c>
      <c r="E43" s="40">
        <f t="shared" si="1"/>
        <v>0</v>
      </c>
      <c r="F43" s="40">
        <f t="shared" si="2"/>
        <v>0</v>
      </c>
      <c r="G43" s="40">
        <f t="shared" si="3"/>
        <v>0</v>
      </c>
      <c r="H43" s="40">
        <f t="shared" si="4"/>
        <v>0</v>
      </c>
      <c r="I43" s="40">
        <f t="shared" si="5"/>
        <v>0</v>
      </c>
      <c r="J43" s="40">
        <f t="shared" si="6"/>
        <v>0</v>
      </c>
      <c r="K43" s="41">
        <f t="shared" si="7"/>
        <v>0</v>
      </c>
      <c r="L43" s="20">
        <v>15480.86</v>
      </c>
      <c r="M43" s="20">
        <v>42.440300000000001</v>
      </c>
      <c r="N43" s="20">
        <v>43.707099999999997</v>
      </c>
      <c r="O43" s="20">
        <v>44.45</v>
      </c>
      <c r="P43" s="36"/>
      <c r="Q43" s="36"/>
      <c r="R43" s="36"/>
      <c r="S43" s="36"/>
      <c r="T43" s="36"/>
      <c r="U43" s="22"/>
      <c r="V43" s="20">
        <f t="shared" si="8"/>
        <v>0</v>
      </c>
      <c r="W43" s="24" t="str">
        <f>IF(OR(AND(P43="",Q43="",R43="",S43=""),AND(L43=P43,M43=Q43,N43=R43,O43=S43)),"","!")</f>
        <v/>
      </c>
      <c r="X43" s="36"/>
      <c r="Y43" s="36"/>
      <c r="Z43" s="36"/>
      <c r="AA43" s="36"/>
      <c r="AB43" s="36"/>
      <c r="AC43" s="36"/>
      <c r="AD43" s="20">
        <f t="shared" si="9"/>
        <v>0</v>
      </c>
      <c r="AE43" s="25" t="e">
        <f>RBJM($P43:$Q46,X43:Y46)</f>
        <v>#VALUE!</v>
      </c>
      <c r="AF43" s="25" t="e">
        <f>RBJM($D43:$E46,H43:I46)</f>
        <v>#VALUE!</v>
      </c>
      <c r="AG43" s="25" t="e">
        <f>RBJM($F43:$G46,J43:K46)</f>
        <v>#VALUE!</v>
      </c>
      <c r="AH43" s="25" t="e">
        <f t="shared" si="12"/>
        <v>#DIV/0!</v>
      </c>
      <c r="AI43" s="25"/>
    </row>
    <row r="44" spans="1:35" ht="12" thickBot="1">
      <c r="A44" s="26"/>
      <c r="B44" s="26" t="s">
        <v>42</v>
      </c>
      <c r="C44" s="26">
        <v>27</v>
      </c>
      <c r="D44" s="42">
        <f t="shared" si="0"/>
        <v>0</v>
      </c>
      <c r="E44" s="42">
        <f t="shared" si="1"/>
        <v>0</v>
      </c>
      <c r="F44" s="42">
        <f t="shared" si="2"/>
        <v>0</v>
      </c>
      <c r="G44" s="42">
        <f t="shared" si="3"/>
        <v>0</v>
      </c>
      <c r="H44" s="42">
        <f t="shared" si="4"/>
        <v>0</v>
      </c>
      <c r="I44" s="42">
        <f t="shared" si="5"/>
        <v>0</v>
      </c>
      <c r="J44" s="42">
        <f t="shared" si="6"/>
        <v>0</v>
      </c>
      <c r="K44" s="43">
        <f t="shared" si="7"/>
        <v>0</v>
      </c>
      <c r="L44" s="23">
        <v>9358.1551999999992</v>
      </c>
      <c r="M44" s="23">
        <v>39.042499999999997</v>
      </c>
      <c r="N44" s="23">
        <v>40.424399999999999</v>
      </c>
      <c r="O44" s="23">
        <v>41.762599999999999</v>
      </c>
      <c r="P44" s="21"/>
      <c r="Q44" s="21"/>
      <c r="R44" s="21"/>
      <c r="S44" s="21"/>
      <c r="T44" s="21"/>
      <c r="U44" s="22"/>
      <c r="V44" s="23">
        <f t="shared" si="8"/>
        <v>0</v>
      </c>
      <c r="W44" s="27" t="str">
        <f t="shared" si="10"/>
        <v/>
      </c>
      <c r="X44" s="21"/>
      <c r="Y44" s="21"/>
      <c r="Z44" s="21"/>
      <c r="AA44" s="21"/>
      <c r="AB44" s="21"/>
      <c r="AC44" s="21"/>
      <c r="AD44" s="23">
        <f t="shared" si="9"/>
        <v>0</v>
      </c>
      <c r="AE44" s="28"/>
      <c r="AF44" s="28"/>
      <c r="AG44" s="28"/>
      <c r="AH44" s="25" t="e">
        <f t="shared" si="12"/>
        <v>#DIV/0!</v>
      </c>
      <c r="AI44" s="25"/>
    </row>
    <row r="45" spans="1:35" ht="12" thickBot="1">
      <c r="A45" s="26"/>
      <c r="B45" s="26"/>
      <c r="C45" s="26">
        <v>32</v>
      </c>
      <c r="D45" s="42">
        <f t="shared" si="0"/>
        <v>0</v>
      </c>
      <c r="E45" s="42">
        <f t="shared" si="1"/>
        <v>0</v>
      </c>
      <c r="F45" s="42">
        <f t="shared" si="2"/>
        <v>0</v>
      </c>
      <c r="G45" s="42">
        <f t="shared" si="3"/>
        <v>0</v>
      </c>
      <c r="H45" s="42">
        <f t="shared" si="4"/>
        <v>0</v>
      </c>
      <c r="I45" s="42">
        <f t="shared" si="5"/>
        <v>0</v>
      </c>
      <c r="J45" s="42">
        <f t="shared" si="6"/>
        <v>0</v>
      </c>
      <c r="K45" s="43">
        <f t="shared" si="7"/>
        <v>0</v>
      </c>
      <c r="L45" s="23">
        <v>5376.7592000000004</v>
      </c>
      <c r="M45" s="23">
        <v>35.700299999999999</v>
      </c>
      <c r="N45" s="23">
        <v>37.834600000000002</v>
      </c>
      <c r="O45" s="23">
        <v>39.664900000000003</v>
      </c>
      <c r="P45" s="21"/>
      <c r="Q45" s="21"/>
      <c r="R45" s="21"/>
      <c r="S45" s="21"/>
      <c r="T45" s="21"/>
      <c r="U45" s="22"/>
      <c r="V45" s="23">
        <f t="shared" si="8"/>
        <v>0</v>
      </c>
      <c r="W45" s="27" t="str">
        <f t="shared" si="10"/>
        <v/>
      </c>
      <c r="X45" s="21"/>
      <c r="Y45" s="21"/>
      <c r="Z45" s="21"/>
      <c r="AA45" s="21"/>
      <c r="AB45" s="21"/>
      <c r="AC45" s="21"/>
      <c r="AD45" s="23">
        <f t="shared" si="9"/>
        <v>0</v>
      </c>
      <c r="AE45" s="28"/>
      <c r="AF45" s="28"/>
      <c r="AG45" s="28"/>
      <c r="AH45" s="25" t="e">
        <f t="shared" si="12"/>
        <v>#DIV/0!</v>
      </c>
      <c r="AI45" s="25"/>
    </row>
    <row r="46" spans="1:35" ht="12" thickBot="1">
      <c r="A46" s="29"/>
      <c r="B46" s="29"/>
      <c r="C46" s="29">
        <v>37</v>
      </c>
      <c r="D46" s="44">
        <f t="shared" si="0"/>
        <v>0</v>
      </c>
      <c r="E46" s="44">
        <f t="shared" si="1"/>
        <v>0</v>
      </c>
      <c r="F46" s="44">
        <f t="shared" si="2"/>
        <v>0</v>
      </c>
      <c r="G46" s="44">
        <f t="shared" si="3"/>
        <v>0</v>
      </c>
      <c r="H46" s="44">
        <f t="shared" si="4"/>
        <v>0</v>
      </c>
      <c r="I46" s="44">
        <f t="shared" si="5"/>
        <v>0</v>
      </c>
      <c r="J46" s="44">
        <f t="shared" si="6"/>
        <v>0</v>
      </c>
      <c r="K46" s="45">
        <f t="shared" si="7"/>
        <v>0</v>
      </c>
      <c r="L46" s="32">
        <v>2698.1448</v>
      </c>
      <c r="M46" s="32">
        <v>32.2851</v>
      </c>
      <c r="N46" s="32">
        <v>35.7866</v>
      </c>
      <c r="O46" s="32">
        <v>37.564100000000003</v>
      </c>
      <c r="P46" s="33"/>
      <c r="Q46" s="33"/>
      <c r="R46" s="33"/>
      <c r="S46" s="33"/>
      <c r="T46" s="33"/>
      <c r="U46" s="34"/>
      <c r="V46" s="32">
        <f t="shared" si="8"/>
        <v>0</v>
      </c>
      <c r="W46" s="37" t="str">
        <f t="shared" si="10"/>
        <v/>
      </c>
      <c r="X46" s="33"/>
      <c r="Y46" s="33"/>
      <c r="Z46" s="33"/>
      <c r="AA46" s="33"/>
      <c r="AB46" s="33"/>
      <c r="AC46" s="33"/>
      <c r="AD46" s="32">
        <f t="shared" si="9"/>
        <v>0</v>
      </c>
      <c r="AE46" s="29"/>
      <c r="AF46" s="29"/>
      <c r="AG46" s="29"/>
      <c r="AH46" s="25" t="e">
        <f t="shared" si="12"/>
        <v>#DIV/0!</v>
      </c>
      <c r="AI46" s="25"/>
    </row>
    <row r="47" spans="1:35" ht="12" thickBot="1">
      <c r="A47" s="17" t="s">
        <v>43</v>
      </c>
      <c r="B47" s="17" t="s">
        <v>44</v>
      </c>
      <c r="C47" s="17">
        <v>22</v>
      </c>
      <c r="D47" s="40">
        <f t="shared" si="0"/>
        <v>0</v>
      </c>
      <c r="E47" s="40">
        <f t="shared" si="1"/>
        <v>0</v>
      </c>
      <c r="F47" s="40">
        <f t="shared" si="2"/>
        <v>0</v>
      </c>
      <c r="G47" s="40">
        <f t="shared" si="3"/>
        <v>0</v>
      </c>
      <c r="H47" s="40">
        <f t="shared" si="4"/>
        <v>0</v>
      </c>
      <c r="I47" s="40">
        <f t="shared" si="5"/>
        <v>0</v>
      </c>
      <c r="J47" s="40">
        <f t="shared" si="6"/>
        <v>0</v>
      </c>
      <c r="K47" s="41">
        <f t="shared" si="7"/>
        <v>0</v>
      </c>
      <c r="L47" s="20">
        <v>5553.8248000000003</v>
      </c>
      <c r="M47" s="20">
        <v>43.088000000000001</v>
      </c>
      <c r="N47" s="20">
        <v>45.012300000000003</v>
      </c>
      <c r="O47" s="20">
        <v>44.783900000000003</v>
      </c>
      <c r="P47" s="36"/>
      <c r="Q47" s="36"/>
      <c r="R47" s="36"/>
      <c r="S47" s="36"/>
      <c r="T47" s="36"/>
      <c r="U47" s="22"/>
      <c r="V47" s="20">
        <f t="shared" si="8"/>
        <v>0</v>
      </c>
      <c r="W47" s="24" t="str">
        <f>IF(OR(AND(P47="",Q47="",R47="",S47=""),AND(L47=P47,M47=Q47,N47=R47,O47=S47)),"","!")</f>
        <v/>
      </c>
      <c r="X47" s="36"/>
      <c r="Y47" s="36"/>
      <c r="Z47" s="36"/>
      <c r="AA47" s="36"/>
      <c r="AB47" s="36"/>
      <c r="AC47" s="36"/>
      <c r="AD47" s="20">
        <f t="shared" si="9"/>
        <v>0</v>
      </c>
      <c r="AE47" s="25" t="e">
        <f>RBJM($P47:$Q50,X47:Y50)</f>
        <v>#VALUE!</v>
      </c>
      <c r="AF47" s="25" t="e">
        <f>RBJM($D47:$E50,H47:I50)</f>
        <v>#VALUE!</v>
      </c>
      <c r="AG47" s="25" t="e">
        <f>RBJM($F47:$G50,J47:K50)</f>
        <v>#VALUE!</v>
      </c>
      <c r="AH47" s="25" t="e">
        <f t="shared" si="12"/>
        <v>#DIV/0!</v>
      </c>
      <c r="AI47" s="25"/>
    </row>
    <row r="48" spans="1:35" ht="12" thickBot="1">
      <c r="A48" s="26" t="s">
        <v>45</v>
      </c>
      <c r="B48" s="26" t="s">
        <v>46</v>
      </c>
      <c r="C48" s="26">
        <v>27</v>
      </c>
      <c r="D48" s="42">
        <f t="shared" si="0"/>
        <v>0</v>
      </c>
      <c r="E48" s="42">
        <f t="shared" si="1"/>
        <v>0</v>
      </c>
      <c r="F48" s="42">
        <f t="shared" si="2"/>
        <v>0</v>
      </c>
      <c r="G48" s="42">
        <f t="shared" si="3"/>
        <v>0</v>
      </c>
      <c r="H48" s="42">
        <f t="shared" si="4"/>
        <v>0</v>
      </c>
      <c r="I48" s="42">
        <f t="shared" si="5"/>
        <v>0</v>
      </c>
      <c r="J48" s="42">
        <f t="shared" si="6"/>
        <v>0</v>
      </c>
      <c r="K48" s="43">
        <f t="shared" si="7"/>
        <v>0</v>
      </c>
      <c r="L48" s="23">
        <v>3324.4472000000001</v>
      </c>
      <c r="M48" s="23">
        <v>39.442</v>
      </c>
      <c r="N48" s="23">
        <v>41.993200000000002</v>
      </c>
      <c r="O48" s="23">
        <v>41.495800000000003</v>
      </c>
      <c r="P48" s="21"/>
      <c r="Q48" s="21"/>
      <c r="R48" s="21"/>
      <c r="S48" s="21"/>
      <c r="T48" s="21"/>
      <c r="U48" s="22"/>
      <c r="V48" s="23">
        <f t="shared" si="8"/>
        <v>0</v>
      </c>
      <c r="W48" s="27" t="str">
        <f t="shared" si="10"/>
        <v/>
      </c>
      <c r="X48" s="21"/>
      <c r="Y48" s="21"/>
      <c r="Z48" s="21"/>
      <c r="AA48" s="21"/>
      <c r="AB48" s="21"/>
      <c r="AC48" s="21"/>
      <c r="AD48" s="23">
        <f t="shared" si="9"/>
        <v>0</v>
      </c>
      <c r="AE48" s="28"/>
      <c r="AF48" s="28"/>
      <c r="AG48" s="28"/>
      <c r="AH48" s="25" t="e">
        <f t="shared" si="12"/>
        <v>#DIV/0!</v>
      </c>
      <c r="AI48" s="25"/>
    </row>
    <row r="49" spans="1:35" ht="12" thickBot="1">
      <c r="A49" s="26"/>
      <c r="B49" s="26"/>
      <c r="C49" s="26">
        <v>32</v>
      </c>
      <c r="D49" s="42">
        <f t="shared" si="0"/>
        <v>0</v>
      </c>
      <c r="E49" s="42">
        <f t="shared" si="1"/>
        <v>0</v>
      </c>
      <c r="F49" s="42">
        <f t="shared" si="2"/>
        <v>0</v>
      </c>
      <c r="G49" s="42">
        <f t="shared" si="3"/>
        <v>0</v>
      </c>
      <c r="H49" s="42">
        <f t="shared" si="4"/>
        <v>0</v>
      </c>
      <c r="I49" s="42">
        <f t="shared" si="5"/>
        <v>0</v>
      </c>
      <c r="J49" s="42">
        <f t="shared" si="6"/>
        <v>0</v>
      </c>
      <c r="K49" s="43">
        <f t="shared" si="7"/>
        <v>0</v>
      </c>
      <c r="L49" s="23">
        <v>1901.104</v>
      </c>
      <c r="M49" s="23">
        <v>36.066800000000001</v>
      </c>
      <c r="N49" s="23">
        <v>39.441600000000001</v>
      </c>
      <c r="O49" s="23">
        <v>38.793399999999998</v>
      </c>
      <c r="P49" s="21"/>
      <c r="Q49" s="21"/>
      <c r="R49" s="21"/>
      <c r="S49" s="21"/>
      <c r="T49" s="21"/>
      <c r="U49" s="22"/>
      <c r="V49" s="23">
        <f t="shared" si="8"/>
        <v>0</v>
      </c>
      <c r="W49" s="27" t="str">
        <f t="shared" si="10"/>
        <v/>
      </c>
      <c r="X49" s="21"/>
      <c r="Y49" s="21"/>
      <c r="Z49" s="21"/>
      <c r="AA49" s="21"/>
      <c r="AB49" s="21"/>
      <c r="AC49" s="21"/>
      <c r="AD49" s="23">
        <f t="shared" si="9"/>
        <v>0</v>
      </c>
      <c r="AE49" s="28"/>
      <c r="AF49" s="28"/>
      <c r="AG49" s="28"/>
      <c r="AH49" s="25" t="e">
        <f t="shared" si="12"/>
        <v>#DIV/0!</v>
      </c>
      <c r="AI49" s="25"/>
    </row>
    <row r="50" spans="1:35" ht="12" thickBot="1">
      <c r="A50" s="26"/>
      <c r="B50" s="29"/>
      <c r="C50" s="29">
        <v>37</v>
      </c>
      <c r="D50" s="44">
        <f t="shared" si="0"/>
        <v>0</v>
      </c>
      <c r="E50" s="44">
        <f t="shared" si="1"/>
        <v>0</v>
      </c>
      <c r="F50" s="44">
        <f t="shared" si="2"/>
        <v>0</v>
      </c>
      <c r="G50" s="44">
        <f t="shared" si="3"/>
        <v>0</v>
      </c>
      <c r="H50" s="44">
        <f t="shared" si="4"/>
        <v>0</v>
      </c>
      <c r="I50" s="44">
        <f t="shared" si="5"/>
        <v>0</v>
      </c>
      <c r="J50" s="44">
        <f t="shared" si="6"/>
        <v>0</v>
      </c>
      <c r="K50" s="45">
        <f t="shared" si="7"/>
        <v>0</v>
      </c>
      <c r="L50" s="32">
        <v>1035.2256</v>
      </c>
      <c r="M50" s="32">
        <v>32.910800000000002</v>
      </c>
      <c r="N50" s="32">
        <v>37.173299999999998</v>
      </c>
      <c r="O50" s="32">
        <v>36.237900000000003</v>
      </c>
      <c r="P50" s="33"/>
      <c r="Q50" s="33"/>
      <c r="R50" s="33"/>
      <c r="S50" s="33"/>
      <c r="T50" s="33"/>
      <c r="U50" s="34"/>
      <c r="V50" s="32">
        <f t="shared" si="8"/>
        <v>0</v>
      </c>
      <c r="W50" s="37" t="str">
        <f t="shared" si="10"/>
        <v/>
      </c>
      <c r="X50" s="33"/>
      <c r="Y50" s="33"/>
      <c r="Z50" s="33"/>
      <c r="AA50" s="33"/>
      <c r="AB50" s="33"/>
      <c r="AC50" s="33"/>
      <c r="AD50" s="32">
        <f t="shared" si="9"/>
        <v>0</v>
      </c>
      <c r="AE50" s="29"/>
      <c r="AF50" s="29"/>
      <c r="AG50" s="29"/>
      <c r="AH50" s="25" t="e">
        <f t="shared" si="12"/>
        <v>#DIV/0!</v>
      </c>
      <c r="AI50" s="25"/>
    </row>
    <row r="51" spans="1:35" ht="12" thickBot="1">
      <c r="A51" s="26"/>
      <c r="B51" s="17" t="s">
        <v>47</v>
      </c>
      <c r="C51" s="17">
        <v>22</v>
      </c>
      <c r="D51" s="38">
        <f t="shared" si="0"/>
        <v>0</v>
      </c>
      <c r="E51" s="38">
        <f t="shared" si="1"/>
        <v>0</v>
      </c>
      <c r="F51" s="38">
        <f t="shared" si="2"/>
        <v>0</v>
      </c>
      <c r="G51" s="38">
        <f t="shared" si="3"/>
        <v>0</v>
      </c>
      <c r="H51" s="38">
        <f t="shared" si="4"/>
        <v>0</v>
      </c>
      <c r="I51" s="38">
        <f t="shared" si="5"/>
        <v>0</v>
      </c>
      <c r="J51" s="38">
        <f t="shared" si="6"/>
        <v>0</v>
      </c>
      <c r="K51" s="39">
        <f t="shared" si="7"/>
        <v>0</v>
      </c>
      <c r="L51" s="20">
        <v>13737.6728</v>
      </c>
      <c r="M51" s="20">
        <v>41.3386</v>
      </c>
      <c r="N51" s="20">
        <v>43.279299999999999</v>
      </c>
      <c r="O51" s="20">
        <v>44.167299999999997</v>
      </c>
      <c r="P51" s="36"/>
      <c r="Q51" s="36"/>
      <c r="R51" s="36"/>
      <c r="S51" s="36"/>
      <c r="T51" s="36"/>
      <c r="U51" s="22"/>
      <c r="V51" s="20">
        <f t="shared" si="8"/>
        <v>0</v>
      </c>
      <c r="W51" s="24" t="str">
        <f>IF(OR(AND(P51="",Q51="",R51="",S51=""),AND(L51=P51,M51=Q51,N51=R51,O51=S51)),"","!")</f>
        <v/>
      </c>
      <c r="X51" s="36"/>
      <c r="Y51" s="36"/>
      <c r="Z51" s="36"/>
      <c r="AA51" s="36"/>
      <c r="AB51" s="36"/>
      <c r="AC51" s="36"/>
      <c r="AD51" s="20">
        <f t="shared" si="9"/>
        <v>0</v>
      </c>
      <c r="AE51" s="25" t="e">
        <f>RBJM($P51:$Q54,X51:Y54)</f>
        <v>#VALUE!</v>
      </c>
      <c r="AF51" s="25" t="e">
        <f>RBJM($D51:$E54,H51:I54)</f>
        <v>#VALUE!</v>
      </c>
      <c r="AG51" s="25" t="e">
        <f>RBJM($F51:$G54,J51:K54)</f>
        <v>#VALUE!</v>
      </c>
      <c r="AH51" s="25" t="e">
        <f t="shared" si="12"/>
        <v>#DIV/0!</v>
      </c>
      <c r="AI51" s="25"/>
    </row>
    <row r="52" spans="1:35" ht="12" thickBot="1">
      <c r="A52" s="26"/>
      <c r="B52" s="26" t="s">
        <v>48</v>
      </c>
      <c r="C52" s="26">
        <v>27</v>
      </c>
      <c r="D52" s="18">
        <f t="shared" si="0"/>
        <v>0</v>
      </c>
      <c r="E52" s="18">
        <f t="shared" si="1"/>
        <v>0</v>
      </c>
      <c r="F52" s="18">
        <f t="shared" si="2"/>
        <v>0</v>
      </c>
      <c r="G52" s="18">
        <f t="shared" si="3"/>
        <v>0</v>
      </c>
      <c r="H52" s="18">
        <f t="shared" si="4"/>
        <v>0</v>
      </c>
      <c r="I52" s="18">
        <f t="shared" si="5"/>
        <v>0</v>
      </c>
      <c r="J52" s="18">
        <f t="shared" si="6"/>
        <v>0</v>
      </c>
      <c r="K52" s="19">
        <f t="shared" si="7"/>
        <v>0</v>
      </c>
      <c r="L52" s="23">
        <v>8697.9943999999996</v>
      </c>
      <c r="M52" s="23">
        <v>36.855800000000002</v>
      </c>
      <c r="N52" s="23">
        <v>40.7029</v>
      </c>
      <c r="O52" s="23">
        <v>41.707099999999997</v>
      </c>
      <c r="P52" s="21"/>
      <c r="Q52" s="21"/>
      <c r="R52" s="21"/>
      <c r="S52" s="21"/>
      <c r="T52" s="21"/>
      <c r="U52" s="22"/>
      <c r="V52" s="23">
        <f t="shared" si="8"/>
        <v>0</v>
      </c>
      <c r="W52" s="27" t="str">
        <f t="shared" si="10"/>
        <v/>
      </c>
      <c r="X52" s="21"/>
      <c r="Y52" s="21"/>
      <c r="Z52" s="21"/>
      <c r="AA52" s="21"/>
      <c r="AB52" s="21"/>
      <c r="AC52" s="21"/>
      <c r="AD52" s="23">
        <f t="shared" si="9"/>
        <v>0</v>
      </c>
      <c r="AE52" s="28"/>
      <c r="AF52" s="28"/>
      <c r="AG52" s="28"/>
      <c r="AH52" s="25" t="e">
        <f t="shared" si="12"/>
        <v>#DIV/0!</v>
      </c>
      <c r="AI52" s="25"/>
    </row>
    <row r="53" spans="1:35" ht="12" thickBot="1">
      <c r="A53" s="26"/>
      <c r="B53" s="26"/>
      <c r="C53" s="26">
        <v>32</v>
      </c>
      <c r="D53" s="18">
        <f t="shared" si="0"/>
        <v>0</v>
      </c>
      <c r="E53" s="18">
        <f t="shared" si="1"/>
        <v>0</v>
      </c>
      <c r="F53" s="18">
        <f t="shared" si="2"/>
        <v>0</v>
      </c>
      <c r="G53" s="18">
        <f t="shared" si="3"/>
        <v>0</v>
      </c>
      <c r="H53" s="18">
        <f t="shared" si="4"/>
        <v>0</v>
      </c>
      <c r="I53" s="18">
        <f t="shared" si="5"/>
        <v>0</v>
      </c>
      <c r="J53" s="18">
        <f t="shared" si="6"/>
        <v>0</v>
      </c>
      <c r="K53" s="19">
        <f t="shared" si="7"/>
        <v>0</v>
      </c>
      <c r="L53" s="23">
        <v>5363.6239999999998</v>
      </c>
      <c r="M53" s="23">
        <v>33.090200000000003</v>
      </c>
      <c r="N53" s="23">
        <v>39.058599999999998</v>
      </c>
      <c r="O53" s="23">
        <v>39.930199999999999</v>
      </c>
      <c r="P53" s="21"/>
      <c r="Q53" s="21"/>
      <c r="R53" s="21"/>
      <c r="S53" s="21"/>
      <c r="T53" s="21"/>
      <c r="U53" s="22"/>
      <c r="V53" s="23">
        <f t="shared" si="8"/>
        <v>0</v>
      </c>
      <c r="W53" s="27" t="str">
        <f t="shared" si="10"/>
        <v/>
      </c>
      <c r="X53" s="21"/>
      <c r="Y53" s="21"/>
      <c r="Z53" s="21"/>
      <c r="AA53" s="21"/>
      <c r="AB53" s="21"/>
      <c r="AC53" s="21"/>
      <c r="AD53" s="23">
        <f t="shared" si="9"/>
        <v>0</v>
      </c>
      <c r="AE53" s="28"/>
      <c r="AF53" s="28"/>
      <c r="AG53" s="28"/>
      <c r="AH53" s="25" t="e">
        <f t="shared" si="12"/>
        <v>#DIV/0!</v>
      </c>
      <c r="AI53" s="25"/>
    </row>
    <row r="54" spans="1:35" ht="12" thickBot="1">
      <c r="A54" s="26"/>
      <c r="B54" s="29"/>
      <c r="C54" s="29">
        <v>37</v>
      </c>
      <c r="D54" s="30">
        <f t="shared" si="0"/>
        <v>0</v>
      </c>
      <c r="E54" s="30">
        <f t="shared" si="1"/>
        <v>0</v>
      </c>
      <c r="F54" s="30">
        <f t="shared" si="2"/>
        <v>0</v>
      </c>
      <c r="G54" s="30">
        <f t="shared" si="3"/>
        <v>0</v>
      </c>
      <c r="H54" s="30">
        <f t="shared" si="4"/>
        <v>0</v>
      </c>
      <c r="I54" s="30">
        <f t="shared" si="5"/>
        <v>0</v>
      </c>
      <c r="J54" s="30">
        <f t="shared" si="6"/>
        <v>0</v>
      </c>
      <c r="K54" s="31">
        <f t="shared" si="7"/>
        <v>0</v>
      </c>
      <c r="L54" s="32">
        <v>3153.3847999999998</v>
      </c>
      <c r="M54" s="32">
        <v>29.5319</v>
      </c>
      <c r="N54" s="32">
        <v>37.829500000000003</v>
      </c>
      <c r="O54" s="32">
        <v>38.229999999999997</v>
      </c>
      <c r="P54" s="33"/>
      <c r="Q54" s="33"/>
      <c r="R54" s="33"/>
      <c r="S54" s="33"/>
      <c r="T54" s="33"/>
      <c r="U54" s="34"/>
      <c r="V54" s="32">
        <f t="shared" si="8"/>
        <v>0</v>
      </c>
      <c r="W54" s="37" t="str">
        <f t="shared" si="10"/>
        <v/>
      </c>
      <c r="X54" s="33"/>
      <c r="Y54" s="33"/>
      <c r="Z54" s="33"/>
      <c r="AA54" s="33"/>
      <c r="AB54" s="33"/>
      <c r="AC54" s="33"/>
      <c r="AD54" s="32">
        <f t="shared" si="9"/>
        <v>0</v>
      </c>
      <c r="AE54" s="29"/>
      <c r="AF54" s="29"/>
      <c r="AG54" s="29"/>
      <c r="AH54" s="25" t="e">
        <f t="shared" si="12"/>
        <v>#DIV/0!</v>
      </c>
      <c r="AI54" s="25"/>
    </row>
    <row r="55" spans="1:35" ht="12" thickBot="1">
      <c r="A55" s="26"/>
      <c r="B55" s="17" t="s">
        <v>49</v>
      </c>
      <c r="C55" s="17">
        <v>22</v>
      </c>
      <c r="D55" s="40">
        <f t="shared" si="0"/>
        <v>0</v>
      </c>
      <c r="E55" s="40">
        <f t="shared" si="1"/>
        <v>0</v>
      </c>
      <c r="F55" s="40">
        <f t="shared" si="2"/>
        <v>0</v>
      </c>
      <c r="G55" s="40">
        <f t="shared" si="3"/>
        <v>0</v>
      </c>
      <c r="H55" s="40">
        <f t="shared" si="4"/>
        <v>0</v>
      </c>
      <c r="I55" s="40">
        <f t="shared" si="5"/>
        <v>0</v>
      </c>
      <c r="J55" s="40">
        <f t="shared" si="6"/>
        <v>0</v>
      </c>
      <c r="K55" s="41">
        <f t="shared" si="7"/>
        <v>0</v>
      </c>
      <c r="L55" s="20">
        <v>11975.7464</v>
      </c>
      <c r="M55" s="20">
        <v>41.178100000000001</v>
      </c>
      <c r="N55" s="20">
        <v>42.177399999999999</v>
      </c>
      <c r="O55" s="20">
        <v>42.870100000000001</v>
      </c>
      <c r="P55" s="36"/>
      <c r="Q55" s="36"/>
      <c r="R55" s="36"/>
      <c r="S55" s="36"/>
      <c r="T55" s="36"/>
      <c r="U55" s="22"/>
      <c r="V55" s="20">
        <f t="shared" si="8"/>
        <v>0</v>
      </c>
      <c r="W55" s="24" t="str">
        <f>IF(OR(AND(P55="",Q55="",R55="",S55=""),AND(L55=P55,M55=Q55,N55=R55,O55=S55)),"","!")</f>
        <v/>
      </c>
      <c r="X55" s="36"/>
      <c r="Y55" s="36"/>
      <c r="Z55" s="36"/>
      <c r="AA55" s="36"/>
      <c r="AB55" s="36"/>
      <c r="AC55" s="36"/>
      <c r="AD55" s="20">
        <f t="shared" si="9"/>
        <v>0</v>
      </c>
      <c r="AE55" s="25" t="e">
        <f>RBJM($P55:$Q58,X55:Y58)</f>
        <v>#VALUE!</v>
      </c>
      <c r="AF55" s="25" t="e">
        <f>RBJM($D55:$E58,H55:I58)</f>
        <v>#VALUE!</v>
      </c>
      <c r="AG55" s="25" t="e">
        <f>RBJM($F55:$G58,J55:K58)</f>
        <v>#VALUE!</v>
      </c>
      <c r="AH55" s="25" t="e">
        <f t="shared" si="12"/>
        <v>#DIV/0!</v>
      </c>
      <c r="AI55" s="25"/>
    </row>
    <row r="56" spans="1:35" ht="12" thickBot="1">
      <c r="A56" s="26"/>
      <c r="B56" s="26" t="s">
        <v>50</v>
      </c>
      <c r="C56" s="26">
        <v>27</v>
      </c>
      <c r="D56" s="42">
        <f t="shared" si="0"/>
        <v>0</v>
      </c>
      <c r="E56" s="42">
        <f t="shared" si="1"/>
        <v>0</v>
      </c>
      <c r="F56" s="42">
        <f t="shared" si="2"/>
        <v>0</v>
      </c>
      <c r="G56" s="42">
        <f t="shared" si="3"/>
        <v>0</v>
      </c>
      <c r="H56" s="42">
        <f t="shared" si="4"/>
        <v>0</v>
      </c>
      <c r="I56" s="42">
        <f t="shared" si="5"/>
        <v>0</v>
      </c>
      <c r="J56" s="42">
        <f t="shared" si="6"/>
        <v>0</v>
      </c>
      <c r="K56" s="43">
        <f t="shared" si="7"/>
        <v>0</v>
      </c>
      <c r="L56" s="23">
        <v>7372.7248</v>
      </c>
      <c r="M56" s="23">
        <v>36.759399999999999</v>
      </c>
      <c r="N56" s="23">
        <v>39.021599999999999</v>
      </c>
      <c r="O56" s="23">
        <v>39.531199999999998</v>
      </c>
      <c r="P56" s="21"/>
      <c r="Q56" s="21"/>
      <c r="R56" s="21"/>
      <c r="S56" s="21"/>
      <c r="T56" s="21"/>
      <c r="U56" s="22"/>
      <c r="V56" s="23">
        <f t="shared" si="8"/>
        <v>0</v>
      </c>
      <c r="W56" s="27" t="str">
        <f t="shared" si="10"/>
        <v/>
      </c>
      <c r="X56" s="21"/>
      <c r="Y56" s="21"/>
      <c r="Z56" s="21"/>
      <c r="AA56" s="21"/>
      <c r="AB56" s="21"/>
      <c r="AC56" s="21"/>
      <c r="AD56" s="23">
        <f t="shared" si="9"/>
        <v>0</v>
      </c>
      <c r="AE56" s="28"/>
      <c r="AF56" s="28"/>
      <c r="AG56" s="28"/>
      <c r="AH56" s="25" t="e">
        <f t="shared" si="12"/>
        <v>#DIV/0!</v>
      </c>
      <c r="AI56" s="25"/>
    </row>
    <row r="57" spans="1:35" ht="12" thickBot="1">
      <c r="A57" s="26"/>
      <c r="B57" s="26"/>
      <c r="C57" s="26">
        <v>32</v>
      </c>
      <c r="D57" s="42">
        <f t="shared" si="0"/>
        <v>0</v>
      </c>
      <c r="E57" s="42">
        <f t="shared" si="1"/>
        <v>0</v>
      </c>
      <c r="F57" s="42">
        <f t="shared" si="2"/>
        <v>0</v>
      </c>
      <c r="G57" s="42">
        <f t="shared" si="3"/>
        <v>0</v>
      </c>
      <c r="H57" s="42">
        <f t="shared" si="4"/>
        <v>0</v>
      </c>
      <c r="I57" s="42">
        <f t="shared" si="5"/>
        <v>0</v>
      </c>
      <c r="J57" s="42">
        <f t="shared" si="6"/>
        <v>0</v>
      </c>
      <c r="K57" s="43">
        <f t="shared" si="7"/>
        <v>0</v>
      </c>
      <c r="L57" s="23">
        <v>4188.2056000000002</v>
      </c>
      <c r="M57" s="23">
        <v>32.823900000000002</v>
      </c>
      <c r="N57" s="23">
        <v>36.556399999999996</v>
      </c>
      <c r="O57" s="23">
        <v>37.008600000000001</v>
      </c>
      <c r="P57" s="21"/>
      <c r="Q57" s="21"/>
      <c r="R57" s="21"/>
      <c r="S57" s="21"/>
      <c r="T57" s="21"/>
      <c r="U57" s="22"/>
      <c r="V57" s="23">
        <f t="shared" si="8"/>
        <v>0</v>
      </c>
      <c r="W57" s="27" t="str">
        <f t="shared" si="10"/>
        <v/>
      </c>
      <c r="X57" s="21"/>
      <c r="Y57" s="21"/>
      <c r="Z57" s="21"/>
      <c r="AA57" s="21"/>
      <c r="AB57" s="21"/>
      <c r="AC57" s="21"/>
      <c r="AD57" s="23">
        <f t="shared" si="9"/>
        <v>0</v>
      </c>
      <c r="AE57" s="28"/>
      <c r="AF57" s="28"/>
      <c r="AG57" s="28"/>
      <c r="AH57" s="25" t="e">
        <f t="shared" si="12"/>
        <v>#DIV/0!</v>
      </c>
      <c r="AI57" s="25"/>
    </row>
    <row r="58" spans="1:35" ht="12" thickBot="1">
      <c r="A58" s="26"/>
      <c r="B58" s="29"/>
      <c r="C58" s="29">
        <v>37</v>
      </c>
      <c r="D58" s="44">
        <f t="shared" si="0"/>
        <v>0</v>
      </c>
      <c r="E58" s="44">
        <f t="shared" si="1"/>
        <v>0</v>
      </c>
      <c r="F58" s="44">
        <f t="shared" si="2"/>
        <v>0</v>
      </c>
      <c r="G58" s="44">
        <f t="shared" si="3"/>
        <v>0</v>
      </c>
      <c r="H58" s="44">
        <f t="shared" si="4"/>
        <v>0</v>
      </c>
      <c r="I58" s="44">
        <f t="shared" si="5"/>
        <v>0</v>
      </c>
      <c r="J58" s="44">
        <f t="shared" si="6"/>
        <v>0</v>
      </c>
      <c r="K58" s="45">
        <f t="shared" si="7"/>
        <v>0</v>
      </c>
      <c r="L58" s="32">
        <v>2115.0304000000001</v>
      </c>
      <c r="M58" s="32">
        <v>29.266200000000001</v>
      </c>
      <c r="N58" s="32">
        <v>34.390500000000003</v>
      </c>
      <c r="O58" s="32">
        <v>34.862299999999998</v>
      </c>
      <c r="P58" s="33"/>
      <c r="Q58" s="33"/>
      <c r="R58" s="33"/>
      <c r="S58" s="33"/>
      <c r="T58" s="33"/>
      <c r="U58" s="34"/>
      <c r="V58" s="32">
        <f t="shared" si="8"/>
        <v>0</v>
      </c>
      <c r="W58" s="37" t="str">
        <f t="shared" si="10"/>
        <v/>
      </c>
      <c r="X58" s="33"/>
      <c r="Y58" s="33"/>
      <c r="Z58" s="33"/>
      <c r="AA58" s="33"/>
      <c r="AB58" s="33"/>
      <c r="AC58" s="33"/>
      <c r="AD58" s="32">
        <f t="shared" si="9"/>
        <v>0</v>
      </c>
      <c r="AE58" s="29"/>
      <c r="AF58" s="29"/>
      <c r="AG58" s="29"/>
      <c r="AH58" s="25" t="e">
        <f t="shared" si="12"/>
        <v>#DIV/0!</v>
      </c>
      <c r="AI58" s="25"/>
    </row>
    <row r="59" spans="1:35" ht="12" thickBot="1">
      <c r="A59" s="26"/>
      <c r="B59" s="17" t="s">
        <v>51</v>
      </c>
      <c r="C59" s="17">
        <v>22</v>
      </c>
      <c r="D59" s="38">
        <f t="shared" si="0"/>
        <v>0</v>
      </c>
      <c r="E59" s="38">
        <f t="shared" si="1"/>
        <v>0</v>
      </c>
      <c r="F59" s="38">
        <f t="shared" si="2"/>
        <v>0</v>
      </c>
      <c r="G59" s="38">
        <f t="shared" si="3"/>
        <v>0</v>
      </c>
      <c r="H59" s="38">
        <f t="shared" si="4"/>
        <v>0</v>
      </c>
      <c r="I59" s="38">
        <f t="shared" si="5"/>
        <v>0</v>
      </c>
      <c r="J59" s="38">
        <f t="shared" si="6"/>
        <v>0</v>
      </c>
      <c r="K59" s="39">
        <f t="shared" si="7"/>
        <v>0</v>
      </c>
      <c r="L59" s="20">
        <v>4652.5663999999997</v>
      </c>
      <c r="M59" s="20">
        <v>42.672699999999999</v>
      </c>
      <c r="N59" s="20">
        <v>43.261600000000001</v>
      </c>
      <c r="O59" s="20">
        <v>44.022100000000002</v>
      </c>
      <c r="P59" s="36"/>
      <c r="Q59" s="36"/>
      <c r="R59" s="36"/>
      <c r="S59" s="36"/>
      <c r="T59" s="36"/>
      <c r="U59" s="22"/>
      <c r="V59" s="20">
        <f t="shared" si="8"/>
        <v>0</v>
      </c>
      <c r="W59" s="24" t="str">
        <f>IF(OR(AND(P59="",Q59="",R59="",S59=""),AND(L59=P59,M59=Q59,N59=R59,O59=S59)),"","!")</f>
        <v/>
      </c>
      <c r="X59" s="36"/>
      <c r="Y59" s="36"/>
      <c r="Z59" s="36"/>
      <c r="AA59" s="36"/>
      <c r="AB59" s="36"/>
      <c r="AC59" s="36"/>
      <c r="AD59" s="20">
        <f t="shared" si="9"/>
        <v>0</v>
      </c>
      <c r="AE59" s="25" t="e">
        <f>RBJM($P59:$Q62,X59:Y62)</f>
        <v>#VALUE!</v>
      </c>
      <c r="AF59" s="25" t="e">
        <f>RBJM($D59:$E62,H59:I62)</f>
        <v>#VALUE!</v>
      </c>
      <c r="AG59" s="25" t="e">
        <f>RBJM($F59:$G62,J59:K62)</f>
        <v>#VALUE!</v>
      </c>
      <c r="AH59" s="25" t="e">
        <f t="shared" si="12"/>
        <v>#DIV/0!</v>
      </c>
      <c r="AI59" s="25"/>
    </row>
    <row r="60" spans="1:35" ht="12" thickBot="1">
      <c r="A60" s="26"/>
      <c r="B60" s="26" t="s">
        <v>42</v>
      </c>
      <c r="C60" s="26">
        <v>27</v>
      </c>
      <c r="D60" s="18">
        <f t="shared" si="0"/>
        <v>0</v>
      </c>
      <c r="E60" s="18">
        <f t="shared" si="1"/>
        <v>0</v>
      </c>
      <c r="F60" s="18">
        <f t="shared" si="2"/>
        <v>0</v>
      </c>
      <c r="G60" s="18">
        <f t="shared" si="3"/>
        <v>0</v>
      </c>
      <c r="H60" s="18">
        <f t="shared" si="4"/>
        <v>0</v>
      </c>
      <c r="I60" s="18">
        <f t="shared" si="5"/>
        <v>0</v>
      </c>
      <c r="J60" s="18">
        <f t="shared" si="6"/>
        <v>0</v>
      </c>
      <c r="K60" s="19">
        <f t="shared" si="7"/>
        <v>0</v>
      </c>
      <c r="L60" s="23">
        <v>2822.5576000000001</v>
      </c>
      <c r="M60" s="23">
        <v>38.576799999999999</v>
      </c>
      <c r="N60" s="23">
        <v>39.889499999999998</v>
      </c>
      <c r="O60" s="23">
        <v>41.087800000000001</v>
      </c>
      <c r="P60" s="21"/>
      <c r="Q60" s="21"/>
      <c r="R60" s="21"/>
      <c r="S60" s="21"/>
      <c r="T60" s="21"/>
      <c r="U60" s="22"/>
      <c r="V60" s="23">
        <f t="shared" si="8"/>
        <v>0</v>
      </c>
      <c r="W60" s="27" t="str">
        <f t="shared" si="10"/>
        <v/>
      </c>
      <c r="X60" s="21"/>
      <c r="Y60" s="21"/>
      <c r="Z60" s="21"/>
      <c r="AA60" s="21"/>
      <c r="AB60" s="21"/>
      <c r="AC60" s="21"/>
      <c r="AD60" s="23">
        <f t="shared" si="9"/>
        <v>0</v>
      </c>
      <c r="AE60" s="28"/>
      <c r="AF60" s="28"/>
      <c r="AG60" s="28"/>
      <c r="AH60" s="25" t="e">
        <f t="shared" si="12"/>
        <v>#DIV/0!</v>
      </c>
      <c r="AI60" s="25"/>
    </row>
    <row r="61" spans="1:35" ht="12" thickBot="1">
      <c r="A61" s="26"/>
      <c r="B61" s="26"/>
      <c r="C61" s="26">
        <v>32</v>
      </c>
      <c r="D61" s="18">
        <f t="shared" si="0"/>
        <v>0</v>
      </c>
      <c r="E61" s="18">
        <f t="shared" si="1"/>
        <v>0</v>
      </c>
      <c r="F61" s="18">
        <f t="shared" si="2"/>
        <v>0</v>
      </c>
      <c r="G61" s="18">
        <f t="shared" si="3"/>
        <v>0</v>
      </c>
      <c r="H61" s="18">
        <f t="shared" si="4"/>
        <v>0</v>
      </c>
      <c r="I61" s="18">
        <f t="shared" si="5"/>
        <v>0</v>
      </c>
      <c r="J61" s="18">
        <f t="shared" si="6"/>
        <v>0</v>
      </c>
      <c r="K61" s="19">
        <f t="shared" si="7"/>
        <v>0</v>
      </c>
      <c r="L61" s="23">
        <v>1560.1967999999999</v>
      </c>
      <c r="M61" s="23">
        <v>34.727699999999999</v>
      </c>
      <c r="N61" s="23">
        <v>37.406799999999997</v>
      </c>
      <c r="O61" s="23">
        <v>38.621000000000002</v>
      </c>
      <c r="P61" s="21"/>
      <c r="Q61" s="21"/>
      <c r="R61" s="21"/>
      <c r="S61" s="21"/>
      <c r="T61" s="21"/>
      <c r="U61" s="22"/>
      <c r="V61" s="23">
        <f t="shared" si="8"/>
        <v>0</v>
      </c>
      <c r="W61" s="27" t="str">
        <f t="shared" si="10"/>
        <v/>
      </c>
      <c r="X61" s="21"/>
      <c r="Y61" s="21"/>
      <c r="Z61" s="21"/>
      <c r="AA61" s="21"/>
      <c r="AB61" s="21"/>
      <c r="AC61" s="21"/>
      <c r="AD61" s="23">
        <f t="shared" si="9"/>
        <v>0</v>
      </c>
      <c r="AE61" s="28"/>
      <c r="AF61" s="28"/>
      <c r="AG61" s="28"/>
      <c r="AH61" s="25" t="e">
        <f t="shared" si="12"/>
        <v>#DIV/0!</v>
      </c>
      <c r="AI61" s="25"/>
    </row>
    <row r="62" spans="1:35" ht="12" thickBot="1">
      <c r="A62" s="29"/>
      <c r="B62" s="29"/>
      <c r="C62" s="29">
        <v>37</v>
      </c>
      <c r="D62" s="46">
        <f t="shared" si="0"/>
        <v>0</v>
      </c>
      <c r="E62" s="46">
        <f t="shared" si="1"/>
        <v>0</v>
      </c>
      <c r="F62" s="46">
        <f t="shared" si="2"/>
        <v>0</v>
      </c>
      <c r="G62" s="46">
        <f t="shared" si="3"/>
        <v>0</v>
      </c>
      <c r="H62" s="46">
        <f t="shared" si="4"/>
        <v>0</v>
      </c>
      <c r="I62" s="46">
        <f t="shared" si="5"/>
        <v>0</v>
      </c>
      <c r="J62" s="46">
        <f t="shared" si="6"/>
        <v>0</v>
      </c>
      <c r="K62" s="47">
        <f t="shared" si="7"/>
        <v>0</v>
      </c>
      <c r="L62" s="32">
        <v>768.26800000000003</v>
      </c>
      <c r="M62" s="32">
        <v>31.408999999999999</v>
      </c>
      <c r="N62" s="32">
        <v>35.030299999999997</v>
      </c>
      <c r="O62" s="32">
        <v>36.182299999999998</v>
      </c>
      <c r="P62" s="33"/>
      <c r="Q62" s="33"/>
      <c r="R62" s="33"/>
      <c r="S62" s="33"/>
      <c r="T62" s="33"/>
      <c r="U62" s="34"/>
      <c r="V62" s="32">
        <f t="shared" si="8"/>
        <v>0</v>
      </c>
      <c r="W62" s="37" t="str">
        <f t="shared" si="10"/>
        <v/>
      </c>
      <c r="X62" s="33"/>
      <c r="Y62" s="33"/>
      <c r="Z62" s="33"/>
      <c r="AA62" s="33"/>
      <c r="AB62" s="33"/>
      <c r="AC62" s="33"/>
      <c r="AD62" s="32">
        <f t="shared" si="9"/>
        <v>0</v>
      </c>
      <c r="AE62" s="29"/>
      <c r="AF62" s="29"/>
      <c r="AG62" s="29"/>
      <c r="AH62" s="25" t="e">
        <f t="shared" si="12"/>
        <v>#DIV/0!</v>
      </c>
      <c r="AI62" s="25"/>
    </row>
    <row r="63" spans="1:35" ht="12" thickBot="1">
      <c r="A63" s="17" t="s">
        <v>52</v>
      </c>
      <c r="B63" s="17" t="s">
        <v>53</v>
      </c>
      <c r="C63" s="17">
        <v>22</v>
      </c>
      <c r="D63" s="40">
        <f t="shared" si="0"/>
        <v>0</v>
      </c>
      <c r="E63" s="40">
        <f t="shared" si="1"/>
        <v>0</v>
      </c>
      <c r="F63" s="40">
        <f t="shared" si="2"/>
        <v>0</v>
      </c>
      <c r="G63" s="40">
        <f t="shared" si="3"/>
        <v>0</v>
      </c>
      <c r="H63" s="40">
        <f t="shared" si="4"/>
        <v>0</v>
      </c>
      <c r="I63" s="40">
        <f t="shared" si="5"/>
        <v>0</v>
      </c>
      <c r="J63" s="40">
        <f t="shared" si="6"/>
        <v>0</v>
      </c>
      <c r="K63" s="41">
        <f t="shared" si="7"/>
        <v>0</v>
      </c>
      <c r="L63" s="20">
        <v>21820.211200000002</v>
      </c>
      <c r="M63" s="20">
        <v>44.745399999999997</v>
      </c>
      <c r="N63" s="20">
        <v>47.310499999999998</v>
      </c>
      <c r="O63" s="20">
        <v>48.205399999999997</v>
      </c>
      <c r="P63" s="36"/>
      <c r="Q63" s="36"/>
      <c r="R63" s="36"/>
      <c r="S63" s="36"/>
      <c r="T63" s="36"/>
      <c r="U63" s="22"/>
      <c r="V63" s="20">
        <f t="shared" si="8"/>
        <v>0</v>
      </c>
      <c r="W63" s="24" t="str">
        <f>IF(OR(AND(P63="",Q63="",R63="",S63=""),AND(L63=P63,M63=Q63,N63=R63,O63=S63)),"","!")</f>
        <v/>
      </c>
      <c r="X63" s="36"/>
      <c r="Y63" s="36"/>
      <c r="Z63" s="36"/>
      <c r="AA63" s="36"/>
      <c r="AB63" s="36"/>
      <c r="AC63" s="36"/>
      <c r="AD63" s="20">
        <f t="shared" si="9"/>
        <v>0</v>
      </c>
      <c r="AE63" s="25" t="e">
        <f>RBJM($P63:$Q66,X63:Y66)</f>
        <v>#VALUE!</v>
      </c>
      <c r="AF63" s="25" t="e">
        <f>RBJM($D63:$E66,H63:I66)</f>
        <v>#VALUE!</v>
      </c>
      <c r="AG63" s="25" t="e">
        <f>RBJM($F63:$G66,J63:K66)</f>
        <v>#VALUE!</v>
      </c>
      <c r="AH63" s="25" t="e">
        <f t="shared" si="12"/>
        <v>#DIV/0!</v>
      </c>
      <c r="AI63" s="25"/>
    </row>
    <row r="64" spans="1:35" ht="12" thickBot="1">
      <c r="A64" s="26" t="s">
        <v>54</v>
      </c>
      <c r="B64" s="26" t="s">
        <v>55</v>
      </c>
      <c r="C64" s="26">
        <v>27</v>
      </c>
      <c r="D64" s="42">
        <f t="shared" si="0"/>
        <v>0</v>
      </c>
      <c r="E64" s="42">
        <f t="shared" si="1"/>
        <v>0</v>
      </c>
      <c r="F64" s="42">
        <f t="shared" si="2"/>
        <v>0</v>
      </c>
      <c r="G64" s="42">
        <f t="shared" si="3"/>
        <v>0</v>
      </c>
      <c r="H64" s="42">
        <f t="shared" si="4"/>
        <v>0</v>
      </c>
      <c r="I64" s="42">
        <f t="shared" si="5"/>
        <v>0</v>
      </c>
      <c r="J64" s="42">
        <f t="shared" si="6"/>
        <v>0</v>
      </c>
      <c r="K64" s="43">
        <f t="shared" si="7"/>
        <v>0</v>
      </c>
      <c r="L64" s="23">
        <v>12954.9856</v>
      </c>
      <c r="M64" s="23">
        <v>42.338999999999999</v>
      </c>
      <c r="N64" s="23">
        <v>45.819099999999999</v>
      </c>
      <c r="O64" s="23">
        <v>46.494199999999999</v>
      </c>
      <c r="P64" s="21"/>
      <c r="Q64" s="21"/>
      <c r="R64" s="21"/>
      <c r="S64" s="21"/>
      <c r="T64" s="21"/>
      <c r="U64" s="22"/>
      <c r="V64" s="23">
        <f t="shared" si="8"/>
        <v>0</v>
      </c>
      <c r="W64" s="27" t="str">
        <f t="shared" si="10"/>
        <v/>
      </c>
      <c r="X64" s="21"/>
      <c r="Y64" s="21"/>
      <c r="Z64" s="21"/>
      <c r="AA64" s="21"/>
      <c r="AB64" s="21"/>
      <c r="AC64" s="21"/>
      <c r="AD64" s="23">
        <f t="shared" si="9"/>
        <v>0</v>
      </c>
      <c r="AE64" s="28"/>
      <c r="AF64" s="28"/>
      <c r="AG64" s="28"/>
      <c r="AH64" s="25" t="e">
        <f t="shared" si="12"/>
        <v>#DIV/0!</v>
      </c>
      <c r="AI64" s="25"/>
    </row>
    <row r="65" spans="1:35" ht="12" thickBot="1">
      <c r="A65" s="26"/>
      <c r="B65" s="26"/>
      <c r="C65" s="26">
        <v>32</v>
      </c>
      <c r="D65" s="42">
        <f t="shared" si="0"/>
        <v>0</v>
      </c>
      <c r="E65" s="42">
        <f t="shared" si="1"/>
        <v>0</v>
      </c>
      <c r="F65" s="42">
        <f t="shared" si="2"/>
        <v>0</v>
      </c>
      <c r="G65" s="42">
        <f t="shared" si="3"/>
        <v>0</v>
      </c>
      <c r="H65" s="42">
        <f t="shared" si="4"/>
        <v>0</v>
      </c>
      <c r="I65" s="42">
        <f t="shared" si="5"/>
        <v>0</v>
      </c>
      <c r="J65" s="42">
        <f t="shared" si="6"/>
        <v>0</v>
      </c>
      <c r="K65" s="43">
        <f t="shared" si="7"/>
        <v>0</v>
      </c>
      <c r="L65" s="23">
        <v>7795.1288000000004</v>
      </c>
      <c r="M65" s="23">
        <v>39.7254</v>
      </c>
      <c r="N65" s="23">
        <v>44.270699999999998</v>
      </c>
      <c r="O65" s="23">
        <v>44.7483</v>
      </c>
      <c r="P65" s="21"/>
      <c r="Q65" s="21"/>
      <c r="R65" s="21"/>
      <c r="S65" s="21"/>
      <c r="T65" s="21"/>
      <c r="U65" s="22"/>
      <c r="V65" s="23">
        <f t="shared" si="8"/>
        <v>0</v>
      </c>
      <c r="W65" s="27" t="str">
        <f t="shared" si="10"/>
        <v/>
      </c>
      <c r="X65" s="21"/>
      <c r="Y65" s="21"/>
      <c r="Z65" s="21"/>
      <c r="AA65" s="21"/>
      <c r="AB65" s="21"/>
      <c r="AC65" s="21"/>
      <c r="AD65" s="23">
        <f t="shared" si="9"/>
        <v>0</v>
      </c>
      <c r="AE65" s="28"/>
      <c r="AF65" s="28"/>
      <c r="AG65" s="28"/>
      <c r="AH65" s="25" t="e">
        <f t="shared" si="12"/>
        <v>#DIV/0!</v>
      </c>
      <c r="AI65" s="25"/>
    </row>
    <row r="66" spans="1:35" ht="12" thickBot="1">
      <c r="A66" s="26"/>
      <c r="B66" s="29"/>
      <c r="C66" s="29">
        <v>37</v>
      </c>
      <c r="D66" s="44">
        <f t="shared" si="0"/>
        <v>0</v>
      </c>
      <c r="E66" s="44">
        <f t="shared" si="1"/>
        <v>0</v>
      </c>
      <c r="F66" s="44">
        <f t="shared" si="2"/>
        <v>0</v>
      </c>
      <c r="G66" s="44">
        <f t="shared" si="3"/>
        <v>0</v>
      </c>
      <c r="H66" s="44">
        <f t="shared" si="4"/>
        <v>0</v>
      </c>
      <c r="I66" s="44">
        <f t="shared" si="5"/>
        <v>0</v>
      </c>
      <c r="J66" s="44">
        <f t="shared" si="6"/>
        <v>0</v>
      </c>
      <c r="K66" s="45">
        <f t="shared" si="7"/>
        <v>0</v>
      </c>
      <c r="L66" s="32">
        <v>4680.3424000000005</v>
      </c>
      <c r="M66" s="32">
        <v>36.9131</v>
      </c>
      <c r="N66" s="32">
        <v>42.669400000000003</v>
      </c>
      <c r="O66" s="32">
        <v>42.917000000000002</v>
      </c>
      <c r="P66" s="33"/>
      <c r="Q66" s="33"/>
      <c r="R66" s="33"/>
      <c r="S66" s="33"/>
      <c r="T66" s="33"/>
      <c r="U66" s="34"/>
      <c r="V66" s="32">
        <f t="shared" si="8"/>
        <v>0</v>
      </c>
      <c r="W66" s="37" t="str">
        <f t="shared" si="10"/>
        <v/>
      </c>
      <c r="X66" s="33"/>
      <c r="Y66" s="33"/>
      <c r="Z66" s="33"/>
      <c r="AA66" s="33"/>
      <c r="AB66" s="33"/>
      <c r="AC66" s="33"/>
      <c r="AD66" s="32">
        <f t="shared" si="9"/>
        <v>0</v>
      </c>
      <c r="AE66" s="29"/>
      <c r="AF66" s="29"/>
      <c r="AG66" s="29"/>
      <c r="AH66" s="25" t="e">
        <f t="shared" si="12"/>
        <v>#DIV/0!</v>
      </c>
      <c r="AI66" s="25"/>
    </row>
    <row r="67" spans="1:35" ht="12" thickBot="1">
      <c r="A67" s="26"/>
      <c r="B67" s="17" t="s">
        <v>56</v>
      </c>
      <c r="C67" s="17">
        <v>22</v>
      </c>
      <c r="D67" s="38">
        <f t="shared" ref="D67:D74" si="13">P67</f>
        <v>0</v>
      </c>
      <c r="E67" s="38">
        <f t="shared" ref="E67:E74" si="14">R67</f>
        <v>0</v>
      </c>
      <c r="F67" s="38">
        <f t="shared" ref="F67:F74" si="15">P67</f>
        <v>0</v>
      </c>
      <c r="G67" s="38">
        <f t="shared" ref="G67:G74" si="16">S67</f>
        <v>0</v>
      </c>
      <c r="H67" s="38">
        <f t="shared" ref="H67:H74" si="17">X67</f>
        <v>0</v>
      </c>
      <c r="I67" s="38">
        <f t="shared" ref="I67:I74" si="18">Z67</f>
        <v>0</v>
      </c>
      <c r="J67" s="38">
        <f t="shared" ref="J67:J74" si="19">X67</f>
        <v>0</v>
      </c>
      <c r="K67" s="39">
        <f t="shared" ref="K67:K74" si="20">AA67</f>
        <v>0</v>
      </c>
      <c r="L67" s="20">
        <v>22362.134399999999</v>
      </c>
      <c r="M67" s="20">
        <v>44.707799999999999</v>
      </c>
      <c r="N67" s="20">
        <v>48.474400000000003</v>
      </c>
      <c r="O67" s="20">
        <v>48.293500000000002</v>
      </c>
      <c r="P67" s="36"/>
      <c r="Q67" s="36"/>
      <c r="R67" s="36"/>
      <c r="S67" s="36"/>
      <c r="T67" s="36"/>
      <c r="U67" s="22"/>
      <c r="V67" s="20">
        <f t="shared" ref="V67:V74" si="21">T67/3600</f>
        <v>0</v>
      </c>
      <c r="W67" s="24" t="str">
        <f>IF(OR(AND(P67="",Q67="",R67="",S67=""),AND(L67=P67,M67=Q67,N67=R67,O67=S67)),"","!")</f>
        <v/>
      </c>
      <c r="X67" s="36"/>
      <c r="Y67" s="36"/>
      <c r="Z67" s="36"/>
      <c r="AA67" s="36"/>
      <c r="AB67" s="36"/>
      <c r="AC67" s="36"/>
      <c r="AD67" s="20">
        <f t="shared" ref="AD67:AD74" si="22">AB67/3600</f>
        <v>0</v>
      </c>
      <c r="AE67" s="25" t="e">
        <f>RBJM($P67:$Q70,X67:Y70)</f>
        <v>#VALUE!</v>
      </c>
      <c r="AF67" s="25" t="e">
        <f>RBJM($D67:$E70,H67:I70)</f>
        <v>#VALUE!</v>
      </c>
      <c r="AG67" s="25" t="e">
        <f>RBJM($F67:$G70,J67:K70)</f>
        <v>#VALUE!</v>
      </c>
      <c r="AH67" s="25" t="e">
        <f t="shared" si="12"/>
        <v>#DIV/0!</v>
      </c>
      <c r="AI67" s="25"/>
    </row>
    <row r="68" spans="1:35" ht="12" thickBot="1">
      <c r="A68" s="26"/>
      <c r="B68" s="26" t="s">
        <v>57</v>
      </c>
      <c r="C68" s="26">
        <v>27</v>
      </c>
      <c r="D68" s="18">
        <f t="shared" si="13"/>
        <v>0</v>
      </c>
      <c r="E68" s="18">
        <f t="shared" si="14"/>
        <v>0</v>
      </c>
      <c r="F68" s="18">
        <f t="shared" si="15"/>
        <v>0</v>
      </c>
      <c r="G68" s="18">
        <f t="shared" si="16"/>
        <v>0</v>
      </c>
      <c r="H68" s="18">
        <f t="shared" si="17"/>
        <v>0</v>
      </c>
      <c r="I68" s="18">
        <f t="shared" si="18"/>
        <v>0</v>
      </c>
      <c r="J68" s="18">
        <f t="shared" si="19"/>
        <v>0</v>
      </c>
      <c r="K68" s="19">
        <f t="shared" si="20"/>
        <v>0</v>
      </c>
      <c r="L68" s="23">
        <v>13753.864799999999</v>
      </c>
      <c r="M68" s="23">
        <v>42.311199999999999</v>
      </c>
      <c r="N68" s="23">
        <v>46.9818</v>
      </c>
      <c r="O68" s="23">
        <v>46.137900000000002</v>
      </c>
      <c r="P68" s="21"/>
      <c r="Q68" s="21"/>
      <c r="R68" s="21"/>
      <c r="S68" s="21"/>
      <c r="T68" s="21"/>
      <c r="U68" s="22"/>
      <c r="V68" s="23">
        <f t="shared" si="21"/>
        <v>0</v>
      </c>
      <c r="W68" s="27" t="str">
        <f t="shared" ref="W68:W74" si="23">IF(OR(AND(P68="",Q68="",R68="",S68=""),AND(L68=P68,M68=Q68,N68=R68,O68=S68)),"","!")</f>
        <v/>
      </c>
      <c r="X68" s="21"/>
      <c r="Y68" s="21"/>
      <c r="Z68" s="21"/>
      <c r="AA68" s="21"/>
      <c r="AB68" s="21"/>
      <c r="AC68" s="21"/>
      <c r="AD68" s="23">
        <f t="shared" si="22"/>
        <v>0</v>
      </c>
      <c r="AE68" s="28"/>
      <c r="AF68" s="28"/>
      <c r="AG68" s="28"/>
      <c r="AH68" s="25" t="e">
        <f t="shared" si="12"/>
        <v>#DIV/0!</v>
      </c>
      <c r="AI68" s="25"/>
    </row>
    <row r="69" spans="1:35" ht="12" thickBot="1">
      <c r="A69" s="26"/>
      <c r="B69" s="26"/>
      <c r="C69" s="26">
        <v>32</v>
      </c>
      <c r="D69" s="18">
        <f t="shared" si="13"/>
        <v>0</v>
      </c>
      <c r="E69" s="18">
        <f t="shared" si="14"/>
        <v>0</v>
      </c>
      <c r="F69" s="18">
        <f t="shared" si="15"/>
        <v>0</v>
      </c>
      <c r="G69" s="18">
        <f t="shared" si="16"/>
        <v>0</v>
      </c>
      <c r="H69" s="18">
        <f t="shared" si="17"/>
        <v>0</v>
      </c>
      <c r="I69" s="18">
        <f t="shared" si="18"/>
        <v>0</v>
      </c>
      <c r="J69" s="18">
        <f t="shared" si="19"/>
        <v>0</v>
      </c>
      <c r="K69" s="19">
        <f t="shared" si="20"/>
        <v>0</v>
      </c>
      <c r="L69" s="23">
        <v>8487.1407999999992</v>
      </c>
      <c r="M69" s="23">
        <v>39.568399999999997</v>
      </c>
      <c r="N69" s="23">
        <v>45.741</v>
      </c>
      <c r="O69" s="23">
        <v>43.985599999999998</v>
      </c>
      <c r="P69" s="21"/>
      <c r="Q69" s="21"/>
      <c r="R69" s="21"/>
      <c r="S69" s="21"/>
      <c r="T69" s="21"/>
      <c r="U69" s="22"/>
      <c r="V69" s="23">
        <f t="shared" si="21"/>
        <v>0</v>
      </c>
      <c r="W69" s="27" t="str">
        <f t="shared" si="23"/>
        <v/>
      </c>
      <c r="X69" s="21"/>
      <c r="Y69" s="21"/>
      <c r="Z69" s="21"/>
      <c r="AA69" s="21"/>
      <c r="AB69" s="21"/>
      <c r="AC69" s="21"/>
      <c r="AD69" s="23">
        <f t="shared" si="22"/>
        <v>0</v>
      </c>
      <c r="AE69" s="28"/>
      <c r="AF69" s="28"/>
      <c r="AG69" s="28"/>
      <c r="AH69" s="25" t="e">
        <f t="shared" si="12"/>
        <v>#DIV/0!</v>
      </c>
      <c r="AI69" s="25"/>
    </row>
    <row r="70" spans="1:35" ht="12" thickBot="1">
      <c r="A70" s="26"/>
      <c r="B70" s="29"/>
      <c r="C70" s="29">
        <v>37</v>
      </c>
      <c r="D70" s="30">
        <f t="shared" si="13"/>
        <v>0</v>
      </c>
      <c r="E70" s="30">
        <f t="shared" si="14"/>
        <v>0</v>
      </c>
      <c r="F70" s="30">
        <f t="shared" si="15"/>
        <v>0</v>
      </c>
      <c r="G70" s="30">
        <f t="shared" si="16"/>
        <v>0</v>
      </c>
      <c r="H70" s="30">
        <f t="shared" si="17"/>
        <v>0</v>
      </c>
      <c r="I70" s="30">
        <f t="shared" si="18"/>
        <v>0</v>
      </c>
      <c r="J70" s="30">
        <f t="shared" si="19"/>
        <v>0</v>
      </c>
      <c r="K70" s="31">
        <f t="shared" si="20"/>
        <v>0</v>
      </c>
      <c r="L70" s="32">
        <v>5097.7752</v>
      </c>
      <c r="M70" s="32">
        <v>36.5212</v>
      </c>
      <c r="N70" s="32">
        <v>44.222099999999998</v>
      </c>
      <c r="O70" s="32">
        <v>42.212000000000003</v>
      </c>
      <c r="P70" s="33"/>
      <c r="Q70" s="33"/>
      <c r="R70" s="33"/>
      <c r="S70" s="33"/>
      <c r="T70" s="33"/>
      <c r="U70" s="34"/>
      <c r="V70" s="32">
        <f t="shared" si="21"/>
        <v>0</v>
      </c>
      <c r="W70" s="37" t="str">
        <f t="shared" si="23"/>
        <v/>
      </c>
      <c r="X70" s="33"/>
      <c r="Y70" s="33"/>
      <c r="Z70" s="33"/>
      <c r="AA70" s="33"/>
      <c r="AB70" s="33"/>
      <c r="AC70" s="33"/>
      <c r="AD70" s="32">
        <f t="shared" si="22"/>
        <v>0</v>
      </c>
      <c r="AE70" s="29"/>
      <c r="AF70" s="29"/>
      <c r="AG70" s="29"/>
      <c r="AH70" s="25" t="e">
        <f t="shared" si="12"/>
        <v>#DIV/0!</v>
      </c>
      <c r="AI70" s="25"/>
    </row>
    <row r="71" spans="1:35" ht="12" thickBot="1">
      <c r="A71" s="26"/>
      <c r="B71" s="17" t="s">
        <v>58</v>
      </c>
      <c r="C71" s="17">
        <v>22</v>
      </c>
      <c r="D71" s="38">
        <f t="shared" si="13"/>
        <v>0</v>
      </c>
      <c r="E71" s="38">
        <f t="shared" si="14"/>
        <v>0</v>
      </c>
      <c r="F71" s="38">
        <f t="shared" si="15"/>
        <v>0</v>
      </c>
      <c r="G71" s="38">
        <f t="shared" si="16"/>
        <v>0</v>
      </c>
      <c r="H71" s="38">
        <f t="shared" si="17"/>
        <v>0</v>
      </c>
      <c r="I71" s="38">
        <f t="shared" si="18"/>
        <v>0</v>
      </c>
      <c r="J71" s="38">
        <f t="shared" si="19"/>
        <v>0</v>
      </c>
      <c r="K71" s="39">
        <f t="shared" si="20"/>
        <v>0</v>
      </c>
      <c r="L71" s="20">
        <v>24067.865600000001</v>
      </c>
      <c r="M71" s="20">
        <v>44.720100000000002</v>
      </c>
      <c r="N71" s="20">
        <v>48.511600000000001</v>
      </c>
      <c r="O71" s="20">
        <v>48.673200000000001</v>
      </c>
      <c r="P71" s="36"/>
      <c r="Q71" s="36"/>
      <c r="R71" s="36"/>
      <c r="S71" s="36"/>
      <c r="T71" s="36"/>
      <c r="U71" s="22"/>
      <c r="V71" s="20">
        <f t="shared" si="21"/>
        <v>0</v>
      </c>
      <c r="W71" s="24" t="str">
        <f>IF(OR(AND(P71="",Q71="",R71="",S71=""),AND(L71=P71,M71=Q71,N71=R71,O71=S71)),"","!")</f>
        <v/>
      </c>
      <c r="X71" s="36"/>
      <c r="Y71" s="36"/>
      <c r="Z71" s="36"/>
      <c r="AA71" s="36"/>
      <c r="AB71" s="36"/>
      <c r="AC71" s="36"/>
      <c r="AD71" s="20">
        <f t="shared" si="22"/>
        <v>0</v>
      </c>
      <c r="AE71" s="25" t="e">
        <f>RBJM($P71:$Q74,X71:Y74)</f>
        <v>#VALUE!</v>
      </c>
      <c r="AF71" s="25" t="e">
        <f>RBJM($D71:$E74,H71:I74)</f>
        <v>#VALUE!</v>
      </c>
      <c r="AG71" s="25" t="e">
        <f>RBJM($F71:$G74,J71:K74)</f>
        <v>#VALUE!</v>
      </c>
      <c r="AH71" s="25" t="e">
        <f t="shared" si="12"/>
        <v>#DIV/0!</v>
      </c>
      <c r="AI71" s="25"/>
    </row>
    <row r="72" spans="1:35" ht="12" thickBot="1">
      <c r="A72" s="26"/>
      <c r="B72" s="26" t="s">
        <v>59</v>
      </c>
      <c r="C72" s="26">
        <v>27</v>
      </c>
      <c r="D72" s="18">
        <f t="shared" si="13"/>
        <v>0</v>
      </c>
      <c r="E72" s="18">
        <f t="shared" si="14"/>
        <v>0</v>
      </c>
      <c r="F72" s="18">
        <f t="shared" si="15"/>
        <v>0</v>
      </c>
      <c r="G72" s="18">
        <f t="shared" si="16"/>
        <v>0</v>
      </c>
      <c r="H72" s="18">
        <f t="shared" si="17"/>
        <v>0</v>
      </c>
      <c r="I72" s="18">
        <f t="shared" si="18"/>
        <v>0</v>
      </c>
      <c r="J72" s="18">
        <f t="shared" si="19"/>
        <v>0</v>
      </c>
      <c r="K72" s="19">
        <f t="shared" si="20"/>
        <v>0</v>
      </c>
      <c r="L72" s="23">
        <v>14017.9936</v>
      </c>
      <c r="M72" s="23">
        <v>41.974299999999999</v>
      </c>
      <c r="N72" s="23">
        <v>46.7652</v>
      </c>
      <c r="O72" s="23">
        <v>46.870699999999999</v>
      </c>
      <c r="P72" s="21"/>
      <c r="Q72" s="21"/>
      <c r="R72" s="21"/>
      <c r="S72" s="21"/>
      <c r="T72" s="21"/>
      <c r="U72" s="22"/>
      <c r="V72" s="23">
        <f t="shared" si="21"/>
        <v>0</v>
      </c>
      <c r="W72" s="27" t="str">
        <f t="shared" si="23"/>
        <v/>
      </c>
      <c r="X72" s="21"/>
      <c r="Y72" s="21"/>
      <c r="Z72" s="21"/>
      <c r="AA72" s="21"/>
      <c r="AB72" s="21"/>
      <c r="AC72" s="21"/>
      <c r="AD72" s="23">
        <f t="shared" si="22"/>
        <v>0</v>
      </c>
      <c r="AE72" s="28"/>
      <c r="AF72" s="28"/>
      <c r="AG72" s="28"/>
      <c r="AH72" s="25" t="e">
        <f t="shared" si="12"/>
        <v>#DIV/0!</v>
      </c>
      <c r="AI72" s="25"/>
    </row>
    <row r="73" spans="1:35" ht="12" thickBot="1">
      <c r="A73" s="26"/>
      <c r="B73" s="26"/>
      <c r="C73" s="26">
        <v>32</v>
      </c>
      <c r="D73" s="18">
        <f t="shared" si="13"/>
        <v>0</v>
      </c>
      <c r="E73" s="18">
        <f t="shared" si="14"/>
        <v>0</v>
      </c>
      <c r="F73" s="18">
        <f t="shared" si="15"/>
        <v>0</v>
      </c>
      <c r="G73" s="18">
        <f t="shared" si="16"/>
        <v>0</v>
      </c>
      <c r="H73" s="18">
        <f t="shared" si="17"/>
        <v>0</v>
      </c>
      <c r="I73" s="18">
        <f t="shared" si="18"/>
        <v>0</v>
      </c>
      <c r="J73" s="18">
        <f t="shared" si="19"/>
        <v>0</v>
      </c>
      <c r="K73" s="19">
        <f t="shared" si="20"/>
        <v>0</v>
      </c>
      <c r="L73" s="23">
        <v>8052.8407999999999</v>
      </c>
      <c r="M73" s="23">
        <v>39.206000000000003</v>
      </c>
      <c r="N73" s="23">
        <v>45.057200000000002</v>
      </c>
      <c r="O73" s="23">
        <v>44.975499999999997</v>
      </c>
      <c r="P73" s="21"/>
      <c r="Q73" s="21"/>
      <c r="R73" s="21"/>
      <c r="S73" s="21"/>
      <c r="T73" s="21"/>
      <c r="U73" s="22"/>
      <c r="V73" s="23">
        <f t="shared" si="21"/>
        <v>0</v>
      </c>
      <c r="W73" s="27" t="str">
        <f t="shared" si="23"/>
        <v/>
      </c>
      <c r="X73" s="21"/>
      <c r="Y73" s="21"/>
      <c r="Z73" s="21"/>
      <c r="AA73" s="21"/>
      <c r="AB73" s="21"/>
      <c r="AC73" s="21"/>
      <c r="AD73" s="23">
        <f t="shared" si="22"/>
        <v>0</v>
      </c>
      <c r="AE73" s="28"/>
      <c r="AF73" s="28"/>
      <c r="AG73" s="28"/>
      <c r="AH73" s="25" t="e">
        <f t="shared" si="12"/>
        <v>#DIV/0!</v>
      </c>
      <c r="AI73" s="25"/>
    </row>
    <row r="74" spans="1:35" ht="12" thickBot="1">
      <c r="A74" s="29"/>
      <c r="B74" s="29"/>
      <c r="C74" s="29">
        <v>37</v>
      </c>
      <c r="D74" s="46">
        <f t="shared" si="13"/>
        <v>0</v>
      </c>
      <c r="E74" s="46">
        <f t="shared" si="14"/>
        <v>0</v>
      </c>
      <c r="F74" s="46">
        <f t="shared" si="15"/>
        <v>0</v>
      </c>
      <c r="G74" s="46">
        <f t="shared" si="16"/>
        <v>0</v>
      </c>
      <c r="H74" s="46">
        <f t="shared" si="17"/>
        <v>0</v>
      </c>
      <c r="I74" s="46">
        <f t="shared" si="18"/>
        <v>0</v>
      </c>
      <c r="J74" s="46">
        <f t="shared" si="19"/>
        <v>0</v>
      </c>
      <c r="K74" s="47">
        <f t="shared" si="20"/>
        <v>0</v>
      </c>
      <c r="L74" s="32">
        <v>4570.9063999999998</v>
      </c>
      <c r="M74" s="32">
        <v>36.446399999999997</v>
      </c>
      <c r="N74" s="32">
        <v>43.287999999999997</v>
      </c>
      <c r="O74" s="32">
        <v>42.9833</v>
      </c>
      <c r="P74" s="33"/>
      <c r="Q74" s="33"/>
      <c r="R74" s="33"/>
      <c r="S74" s="33"/>
      <c r="T74" s="33"/>
      <c r="U74" s="34"/>
      <c r="V74" s="32">
        <f t="shared" si="21"/>
        <v>0</v>
      </c>
      <c r="W74" s="37" t="str">
        <f t="shared" si="23"/>
        <v/>
      </c>
      <c r="X74" s="33"/>
      <c r="Y74" s="33"/>
      <c r="Z74" s="33"/>
      <c r="AA74" s="33"/>
      <c r="AB74" s="33"/>
      <c r="AC74" s="33"/>
      <c r="AD74" s="32">
        <f t="shared" si="22"/>
        <v>0</v>
      </c>
      <c r="AE74" s="29"/>
      <c r="AF74" s="29"/>
      <c r="AG74" s="29"/>
      <c r="AH74" s="25" t="e">
        <f t="shared" si="12"/>
        <v>#DIV/0!</v>
      </c>
      <c r="AI74" s="25"/>
    </row>
    <row r="75" spans="1:35">
      <c r="B75" s="1" t="s">
        <v>15</v>
      </c>
      <c r="D75" s="48"/>
      <c r="E75" s="49"/>
      <c r="F75" s="49"/>
      <c r="G75" s="50"/>
      <c r="H75" s="50"/>
      <c r="I75" s="50"/>
      <c r="J75" s="50"/>
      <c r="K75" s="50"/>
      <c r="L75" s="50"/>
      <c r="M75" s="50"/>
      <c r="N75" s="50"/>
      <c r="O75" s="50"/>
      <c r="W75" s="51"/>
      <c r="AE75" s="52">
        <f>AVERAGE(AE3,AE7)</f>
        <v>-22.985233580791309</v>
      </c>
      <c r="AF75" s="52">
        <f>AVERAGE(AF3,AF7)</f>
        <v>-32.719501830038006</v>
      </c>
      <c r="AG75" s="52">
        <f>AVERAGE(AG3,AG7)</f>
        <v>-35.078752869471217</v>
      </c>
      <c r="AH75" s="52">
        <f>AVERAGE(AH3,AH7)</f>
        <v>17.195373422904908</v>
      </c>
      <c r="AI75" s="52">
        <f>AVERAGE(AI3,AI7)</f>
        <v>11.635660371837698</v>
      </c>
    </row>
    <row r="76" spans="1:35">
      <c r="B76" s="1" t="s">
        <v>21</v>
      </c>
      <c r="D76" s="53"/>
      <c r="E76" s="49"/>
      <c r="F76" s="49"/>
      <c r="G76" s="50"/>
      <c r="H76" s="50"/>
      <c r="I76" s="50"/>
      <c r="J76" s="50"/>
      <c r="K76" s="50"/>
      <c r="L76" s="50"/>
      <c r="M76" s="50"/>
      <c r="N76" s="50"/>
      <c r="O76" s="50"/>
      <c r="W76" s="51"/>
      <c r="AE76" s="52" t="e">
        <f>AVERAGE(AE11,AE15,AE19,AE23,AE27)</f>
        <v>#VALUE!</v>
      </c>
      <c r="AF76" s="52" t="e">
        <f>AVERAGE(AF11,AF15,AF19,AF23,AF27)</f>
        <v>#VALUE!</v>
      </c>
      <c r="AG76" s="52" t="e">
        <f>AVERAGE(AG11,AG15,AG19,AG23,AG27)</f>
        <v>#VALUE!</v>
      </c>
      <c r="AH76" s="52" t="e">
        <f>AVERAGE(AH11,AH15,AH19,AH23,AH27)</f>
        <v>#DIV/0!</v>
      </c>
      <c r="AI76" s="52" t="e">
        <f>AVERAGE(AI11,AI15,AI19,AI23,AI27)</f>
        <v>#DIV/0!</v>
      </c>
    </row>
    <row r="77" spans="1:35">
      <c r="B77" s="1" t="s">
        <v>33</v>
      </c>
      <c r="D77" s="53"/>
      <c r="E77" s="49"/>
      <c r="F77" s="49"/>
      <c r="G77" s="50"/>
      <c r="H77" s="50"/>
      <c r="I77" s="50"/>
      <c r="J77" s="50"/>
      <c r="K77" s="50"/>
      <c r="L77" s="50"/>
      <c r="M77" s="50"/>
      <c r="N77" s="50"/>
      <c r="O77" s="50"/>
      <c r="W77" s="51"/>
      <c r="AE77" s="52" t="e">
        <f>AVERAGE(AE31,AE35,AE39,AE43)</f>
        <v>#VALUE!</v>
      </c>
      <c r="AF77" s="52" t="e">
        <f>AVERAGE(AF31,AF35,AF39,AF43)</f>
        <v>#VALUE!</v>
      </c>
      <c r="AG77" s="52" t="e">
        <f>AVERAGE(AG31,AG35,AG39,AG43)</f>
        <v>#VALUE!</v>
      </c>
      <c r="AH77" s="52" t="e">
        <f>AVERAGE(AH31,AH35,AH39,AH43)</f>
        <v>#DIV/0!</v>
      </c>
      <c r="AI77" s="52" t="e">
        <f>AVERAGE(AI31,AI35,AI39,AI43)</f>
        <v>#DIV/0!</v>
      </c>
    </row>
    <row r="78" spans="1:35">
      <c r="B78" s="1" t="s">
        <v>43</v>
      </c>
      <c r="D78" s="53"/>
      <c r="E78" s="49"/>
      <c r="F78" s="49"/>
      <c r="G78" s="50"/>
      <c r="H78" s="50"/>
      <c r="I78" s="50"/>
      <c r="J78" s="50"/>
      <c r="K78" s="50"/>
      <c r="L78" s="50"/>
      <c r="M78" s="50"/>
      <c r="N78" s="50"/>
      <c r="O78" s="50"/>
      <c r="W78" s="51"/>
      <c r="AE78" s="52" t="e">
        <f>AVERAGE(AE47,AE55,AE51,AE59)</f>
        <v>#VALUE!</v>
      </c>
      <c r="AF78" s="52" t="e">
        <f>AVERAGE(AF47,AF55,AF51,AF59)</f>
        <v>#VALUE!</v>
      </c>
      <c r="AG78" s="52" t="e">
        <f>AVERAGE(AG47,AG55,AG51,AG59)</f>
        <v>#VALUE!</v>
      </c>
      <c r="AH78" s="52" t="e">
        <f>AVERAGE(AH47,AH55,AH51,AH59)</f>
        <v>#DIV/0!</v>
      </c>
      <c r="AI78" s="52" t="e">
        <f>AVERAGE(AI47,AI55,AI51,AI59)</f>
        <v>#DIV/0!</v>
      </c>
    </row>
    <row r="79" spans="1:35">
      <c r="B79" s="1" t="s">
        <v>60</v>
      </c>
      <c r="D79" s="53"/>
      <c r="E79" s="49"/>
      <c r="F79" s="49"/>
      <c r="G79" s="50"/>
      <c r="H79" s="50"/>
      <c r="I79" s="50"/>
      <c r="J79" s="50"/>
      <c r="K79" s="50"/>
      <c r="L79" s="50"/>
      <c r="M79" s="50"/>
      <c r="N79" s="50"/>
      <c r="O79" s="50"/>
      <c r="W79" s="51"/>
      <c r="AE79" s="52" t="e">
        <f>AVERAGE(AE63,AE67,AE71)</f>
        <v>#VALUE!</v>
      </c>
      <c r="AF79" s="52" t="e">
        <f>AVERAGE(AF63,AF67,AF71)</f>
        <v>#VALUE!</v>
      </c>
      <c r="AG79" s="52" t="e">
        <f>AVERAGE(AG63,AG67,AG71)</f>
        <v>#VALUE!</v>
      </c>
      <c r="AH79" s="52" t="e">
        <f>AVERAGE(AH63,AH67,AH71)</f>
        <v>#DIV/0!</v>
      </c>
      <c r="AI79" s="52" t="e">
        <f>AVERAGE(AI63,AI67,AI71)</f>
        <v>#DIV/0!</v>
      </c>
    </row>
    <row r="80" spans="1:35">
      <c r="B80" s="54" t="s">
        <v>61</v>
      </c>
      <c r="C80" s="54"/>
      <c r="D80" s="55"/>
      <c r="E80" s="56"/>
      <c r="F80" s="57"/>
      <c r="G80" s="56"/>
      <c r="H80" s="56"/>
      <c r="I80" s="56"/>
      <c r="J80" s="56"/>
      <c r="K80" s="56"/>
      <c r="L80" s="56"/>
      <c r="M80" s="56"/>
      <c r="N80" s="56"/>
      <c r="O80" s="56"/>
      <c r="P80" s="54"/>
      <c r="Q80" s="54"/>
      <c r="R80" s="54"/>
      <c r="S80" s="54"/>
      <c r="T80" s="54"/>
      <c r="U80" s="54"/>
      <c r="V80" s="54"/>
      <c r="W80" s="58"/>
      <c r="X80" s="54"/>
      <c r="Y80" s="54"/>
      <c r="Z80" s="54"/>
      <c r="AA80" s="54"/>
      <c r="AB80" s="54"/>
      <c r="AC80" s="54"/>
      <c r="AD80" s="54"/>
      <c r="AE80" s="59" t="e">
        <f>AVERAGE(AE3,AE7,AE11,AE15,AE19,AE23,AE27,AE31,AE35,AE39,AE43,AE47,AE55,AE51,AE59,AE63,AE67,AE71)</f>
        <v>#VALUE!</v>
      </c>
      <c r="AF80" s="59" t="e">
        <f>AVERAGE(AF3,AF7,AF11,AF15,AF19,AF23,AF27,AF31,AF35,AF39,AF43,AF47,AF55,AF51,AF59,AF63,AF67,AF71)</f>
        <v>#VALUE!</v>
      </c>
      <c r="AG80" s="59" t="e">
        <f>AVERAGE(AG3,AG7,AG11,AG15,AG19,AG23,AG27,AG31,AG35,AG39,AG43,AG47,AG55,AG51,AG59,AG63,AG67,AG71)</f>
        <v>#VALUE!</v>
      </c>
      <c r="AH80" s="59" t="e">
        <f>AVERAGE(AH3,AH7,AH11,AH15,AH19,AH23,AH27,AH31,AH35,AH39,AH43,AH47,AH55,AH51,AH59,AH63,AH67,AH71)</f>
        <v>#DIV/0!</v>
      </c>
      <c r="AI80" s="59">
        <f>AVERAGE(AI3,AI7,AI11,AI15,AI19,AI23,AI27,AI31,AI35,AI39,AI43,AI47,AI55,AI51,AI59,AI63,AI67,AI71)</f>
        <v>11.635660371837698</v>
      </c>
    </row>
    <row r="81" spans="2:30">
      <c r="B81" s="1" t="s">
        <v>62</v>
      </c>
      <c r="T81" s="52"/>
      <c r="U81" s="52" t="e">
        <f>GEOMEAN(U3:U74)</f>
        <v>#NUM!</v>
      </c>
      <c r="V81" s="52" t="e">
        <f>GEOMEAN(V3:V74)</f>
        <v>#NUM!</v>
      </c>
      <c r="W81" s="52"/>
      <c r="X81" s="52"/>
      <c r="Y81" s="52"/>
      <c r="Z81" s="52"/>
      <c r="AA81" s="52"/>
      <c r="AB81" s="52"/>
      <c r="AC81" s="52" t="e">
        <f>GEOMEAN(AC3:AC74)</f>
        <v>#NUM!</v>
      </c>
      <c r="AD81" s="52" t="e">
        <f>GEOMEAN(AD3:AD74)</f>
        <v>#NUM!</v>
      </c>
    </row>
    <row r="82" spans="2:30">
      <c r="B82" s="1" t="s">
        <v>63</v>
      </c>
      <c r="AB82" s="63"/>
      <c r="AC82" s="63" t="e">
        <f>AC81/U81</f>
        <v>#NUM!</v>
      </c>
      <c r="AD82" s="63" t="e">
        <f>AD81/V81</f>
        <v>#NUM!</v>
      </c>
    </row>
    <row r="83" spans="2:30">
      <c r="B83" s="1" t="s">
        <v>64</v>
      </c>
      <c r="T83" s="51"/>
      <c r="U83" s="51">
        <f>SUM(U3:U74)/3600</f>
        <v>0</v>
      </c>
      <c r="V83" s="51">
        <f>SUM(V3:V74)</f>
        <v>6.126305555555555E-2</v>
      </c>
      <c r="AB83" s="51"/>
      <c r="AC83" s="51">
        <f>SUM(AC3:AC74)/3600</f>
        <v>0</v>
      </c>
      <c r="AD83" s="51">
        <f>SUM(AD3:AD74)</f>
        <v>0.59732611111111111</v>
      </c>
    </row>
  </sheetData>
  <mergeCells count="3">
    <mergeCell ref="L1:O1"/>
    <mergeCell ref="P1:W1"/>
    <mergeCell ref="X1:AE1"/>
  </mergeCells>
  <phoneticPr fontId="2" type="noConversion"/>
  <conditionalFormatting sqref="AE3:AG80">
    <cfRule type="cellIs" dxfId="20" priority="37" stopIfTrue="1" operator="between">
      <formula>-1</formula>
      <formula>1</formula>
    </cfRule>
    <cfRule type="cellIs" dxfId="19" priority="38" stopIfTrue="1" operator="lessThan">
      <formula>-3</formula>
    </cfRule>
    <cfRule type="cellIs" dxfId="18" priority="39" stopIfTrue="1" operator="greaterThan">
      <formula>3</formula>
    </cfRule>
  </conditionalFormatting>
  <conditionalFormatting sqref="AH3:AH6 AH75:AH80">
    <cfRule type="cellIs" dxfId="17" priority="16" stopIfTrue="1" operator="between">
      <formula>-1</formula>
      <formula>1</formula>
    </cfRule>
    <cfRule type="cellIs" dxfId="16" priority="17" stopIfTrue="1" operator="lessThan">
      <formula>-3</formula>
    </cfRule>
    <cfRule type="cellIs" dxfId="15" priority="18" stopIfTrue="1" operator="greaterThan">
      <formula>3</formula>
    </cfRule>
  </conditionalFormatting>
  <conditionalFormatting sqref="AI3:AI6 AI75:AI80">
    <cfRule type="cellIs" dxfId="14" priority="13" stopIfTrue="1" operator="between">
      <formula>-1</formula>
      <formula>1</formula>
    </cfRule>
    <cfRule type="cellIs" dxfId="13" priority="14" stopIfTrue="1" operator="lessThan">
      <formula>-3</formula>
    </cfRule>
    <cfRule type="cellIs" dxfId="12" priority="15" stopIfTrue="1" operator="greaterThan">
      <formula>3</formula>
    </cfRule>
  </conditionalFormatting>
  <conditionalFormatting sqref="AH7:AH10">
    <cfRule type="cellIs" dxfId="11" priority="10" stopIfTrue="1" operator="between">
      <formula>-1</formula>
      <formula>1</formula>
    </cfRule>
    <cfRule type="cellIs" dxfId="10" priority="11" stopIfTrue="1" operator="lessThan">
      <formula>-3</formula>
    </cfRule>
    <cfRule type="cellIs" dxfId="9" priority="12" stopIfTrue="1" operator="greaterThan">
      <formula>3</formula>
    </cfRule>
  </conditionalFormatting>
  <conditionalFormatting sqref="AI7:AI10">
    <cfRule type="cellIs" dxfId="8" priority="7" stopIfTrue="1" operator="between">
      <formula>-1</formula>
      <formula>1</formula>
    </cfRule>
    <cfRule type="cellIs" dxfId="7" priority="8" stopIfTrue="1" operator="lessThan">
      <formula>-3</formula>
    </cfRule>
    <cfRule type="cellIs" dxfId="6" priority="9" stopIfTrue="1" operator="greaterThan">
      <formula>3</formula>
    </cfRule>
  </conditionalFormatting>
  <conditionalFormatting sqref="AH11:AH74">
    <cfRule type="cellIs" dxfId="5" priority="4" stopIfTrue="1" operator="between">
      <formula>-1</formula>
      <formula>1</formula>
    </cfRule>
    <cfRule type="cellIs" dxfId="4" priority="5" stopIfTrue="1" operator="lessThan">
      <formula>-3</formula>
    </cfRule>
    <cfRule type="cellIs" dxfId="3" priority="6" stopIfTrue="1" operator="greaterThan">
      <formula>3</formula>
    </cfRule>
  </conditionalFormatting>
  <conditionalFormatting sqref="AI11:AI74">
    <cfRule type="cellIs" dxfId="2" priority="1" stopIfTrue="1" operator="between">
      <formula>-1</formula>
      <formula>1</formula>
    </cfRule>
    <cfRule type="cellIs" dxfId="1" priority="2" stopIfTrue="1" operator="lessThan">
      <formula>-3</formula>
    </cfRule>
    <cfRule type="cellIs" dxfId="0" priority="3" stopIfTrue="1" operator="greaterThan">
      <formula>3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Summary</vt:lpstr>
      <vt:lpstr>Intra-VTM</vt:lpstr>
      <vt:lpstr>Intra-VVenC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Qinghao Lin</dc:creator>
  <cp:lastModifiedBy>Qinghao Lin</cp:lastModifiedBy>
  <dcterms:created xsi:type="dcterms:W3CDTF">2021-05-24T06:55:58Z</dcterms:created>
  <dcterms:modified xsi:type="dcterms:W3CDTF">2021-05-24T07:59:07Z</dcterms:modified>
</cp:coreProperties>
</file>